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.spss\"/>
    </mc:Choice>
  </mc:AlternateContent>
  <xr:revisionPtr revIDLastSave="0" documentId="8_{E447B319-96B8-429A-A3FD-43C7F9B9E211}" xr6:coauthVersionLast="47" xr6:coauthVersionMax="47" xr10:uidLastSave="{00000000-0000-0000-0000-000000000000}"/>
  <bookViews>
    <workbookView xWindow="-120" yWindow="-120" windowWidth="20730" windowHeight="11040" xr2:uid="{81FF865C-3837-41B1-97E6-5FBDD8B4B8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2" l="1"/>
  <c r="N31" i="2"/>
  <c r="O30" i="2"/>
  <c r="N30" i="2"/>
  <c r="O29" i="2"/>
  <c r="N29" i="2"/>
  <c r="O28" i="2"/>
  <c r="N28" i="2"/>
  <c r="AD31" i="2"/>
  <c r="AC31" i="2"/>
  <c r="AD30" i="2"/>
  <c r="AC30" i="2"/>
  <c r="AD29" i="2"/>
  <c r="AC29" i="2"/>
  <c r="AD28" i="2"/>
  <c r="AC28" i="2"/>
  <c r="AD31" i="1"/>
  <c r="AC31" i="1"/>
  <c r="AD30" i="1"/>
  <c r="AC30" i="1"/>
  <c r="AD29" i="1"/>
  <c r="AC29" i="1"/>
  <c r="AD28" i="1"/>
  <c r="AC28" i="1"/>
  <c r="O31" i="1"/>
  <c r="O30" i="1"/>
  <c r="O29" i="1"/>
  <c r="O28" i="1"/>
  <c r="AC14" i="1"/>
  <c r="AC27" i="2" l="1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3" i="1"/>
  <c r="AC12" i="1"/>
  <c r="AC11" i="1"/>
  <c r="AC10" i="1"/>
  <c r="AC9" i="1"/>
  <c r="AC8" i="1"/>
  <c r="AC7" i="1"/>
  <c r="AC6" i="1"/>
  <c r="AC5" i="1"/>
  <c r="AC4" i="1"/>
  <c r="AC3" i="1"/>
  <c r="N26" i="1"/>
  <c r="N25" i="1"/>
  <c r="N24" i="1"/>
  <c r="N23" i="1"/>
  <c r="N22" i="1"/>
  <c r="N21" i="1"/>
  <c r="N20" i="1"/>
  <c r="N19" i="1"/>
  <c r="N18" i="1"/>
  <c r="N17" i="1"/>
  <c r="N15" i="1"/>
  <c r="N14" i="1"/>
  <c r="N12" i="1"/>
  <c r="N11" i="1"/>
  <c r="N10" i="1"/>
  <c r="N9" i="1"/>
  <c r="N8" i="1"/>
  <c r="N7" i="1"/>
  <c r="N6" i="1"/>
  <c r="N5" i="1"/>
  <c r="N3" i="1"/>
  <c r="N28" i="1" l="1"/>
  <c r="N31" i="1"/>
  <c r="N29" i="1"/>
  <c r="N30" i="1"/>
</calcChain>
</file>

<file path=xl/sharedStrings.xml><?xml version="1.0" encoding="utf-8"?>
<sst xmlns="http://schemas.openxmlformats.org/spreadsheetml/2006/main" count="165" uniqueCount="74">
  <si>
    <t>NO.</t>
  </si>
  <si>
    <t>Nama</t>
  </si>
  <si>
    <t>Total</t>
  </si>
  <si>
    <t>Skor</t>
  </si>
  <si>
    <t>AFA</t>
  </si>
  <si>
    <t>AM</t>
  </si>
  <si>
    <t>AKP</t>
  </si>
  <si>
    <t>ARS</t>
  </si>
  <si>
    <t>ALD</t>
  </si>
  <si>
    <t>AMH</t>
  </si>
  <si>
    <t>ADN</t>
  </si>
  <si>
    <t>ADH</t>
  </si>
  <si>
    <t>AS</t>
  </si>
  <si>
    <t>AD</t>
  </si>
  <si>
    <t>67.5</t>
  </si>
  <si>
    <t>ATH</t>
  </si>
  <si>
    <t>ASW</t>
  </si>
  <si>
    <t>CIP</t>
  </si>
  <si>
    <t>72.5</t>
  </si>
  <si>
    <t>IMN</t>
  </si>
  <si>
    <t>KRN</t>
  </si>
  <si>
    <t>MW</t>
  </si>
  <si>
    <t>MFB</t>
  </si>
  <si>
    <t>MSI</t>
  </si>
  <si>
    <t>77.5</t>
  </si>
  <si>
    <t>MRM</t>
  </si>
  <si>
    <t>NP</t>
  </si>
  <si>
    <t>RM</t>
  </si>
  <si>
    <t>RKO</t>
  </si>
  <si>
    <t>RS</t>
  </si>
  <si>
    <t>TZP</t>
  </si>
  <si>
    <t>ZAF</t>
  </si>
  <si>
    <t>Jumlah</t>
  </si>
  <si>
    <t>Rata-rata</t>
  </si>
  <si>
    <t>Maksimal</t>
  </si>
  <si>
    <t>Minimum</t>
  </si>
  <si>
    <t>No.</t>
  </si>
  <si>
    <t>AP</t>
  </si>
  <si>
    <t>ASH</t>
  </si>
  <si>
    <t>ADS</t>
  </si>
  <si>
    <t>AR</t>
  </si>
  <si>
    <t>BJ</t>
  </si>
  <si>
    <t>DRY</t>
  </si>
  <si>
    <t>DA</t>
  </si>
  <si>
    <t>DN</t>
  </si>
  <si>
    <t>FA</t>
  </si>
  <si>
    <t>GDA</t>
  </si>
  <si>
    <t>HS</t>
  </si>
  <si>
    <t>ITA</t>
  </si>
  <si>
    <t>MKJ</t>
  </si>
  <si>
    <t>MPP</t>
  </si>
  <si>
    <t>MNP</t>
  </si>
  <si>
    <t>MFA</t>
  </si>
  <si>
    <t>MYR</t>
  </si>
  <si>
    <t>42.5</t>
  </si>
  <si>
    <t>MZA</t>
  </si>
  <si>
    <t>NF</t>
  </si>
  <si>
    <t>NM</t>
  </si>
  <si>
    <t>PSD</t>
  </si>
  <si>
    <t>RH</t>
  </si>
  <si>
    <t>RA</t>
  </si>
  <si>
    <t>47.5</t>
  </si>
  <si>
    <t>RRF</t>
  </si>
  <si>
    <t xml:space="preserve">                                                                    SKOR POST-TEST KELAS KONTROL 4A</t>
  </si>
  <si>
    <t xml:space="preserve">                                                                    SKOR POST-TEST KELAS EKSPERIMEN 4B</t>
  </si>
  <si>
    <t>q</t>
  </si>
  <si>
    <t xml:space="preserve">                                                                    SKOR PRE-TEST KELAS KONTROL 4A  YYYYY yg ini</t>
  </si>
  <si>
    <t xml:space="preserve">                                                                         SKOR PRE-TEST KELAS EKSPERIMEN 4B YYYY yang ini</t>
  </si>
  <si>
    <t>37.5</t>
  </si>
  <si>
    <t>32.5</t>
  </si>
  <si>
    <t>42.4</t>
  </si>
  <si>
    <t>37.8</t>
  </si>
  <si>
    <t>82.5</t>
  </si>
  <si>
    <t>57.8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</si>
</sst>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0450-00F6-4C13-8F8E-663ACAA387CA}">
  <dimension ref="B1:AI31"/>
  <sheetViews>
    <sheetView tabSelected="1" topLeftCell="K1" zoomScale="89" zoomScaleNormal="89" workbookViewId="0">
      <selection activeCell="S1" sqref="S1:AD1"/>
    </sheetView>
  </sheetViews>
  <sheetFormatPr defaultRowHeight="15" x14ac:dyDescent="0.25"/>
  <cols>
    <col min="15" max="15" width="13.140625" bestFit="1" customWidth="1"/>
    <col min="30" max="30" width="13.140625" bestFit="1" customWidth="1"/>
  </cols>
  <sheetData>
    <row r="1" spans="2:35" ht="16.5" customHeight="1" thickBot="1" x14ac:dyDescent="0.3">
      <c r="B1" s="1" t="s">
        <v>0</v>
      </c>
      <c r="C1" s="2" t="s">
        <v>1</v>
      </c>
      <c r="D1" s="3" t="s">
        <v>66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Q1" s="1" t="s">
        <v>36</v>
      </c>
      <c r="R1" s="1" t="s">
        <v>1</v>
      </c>
      <c r="S1" s="3" t="s">
        <v>67</v>
      </c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2:35" ht="16.5" thickBot="1" x14ac:dyDescent="0.3">
      <c r="B2" s="6"/>
      <c r="C2" s="7"/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 t="s">
        <v>2</v>
      </c>
      <c r="O2" s="8" t="s">
        <v>3</v>
      </c>
      <c r="Q2" s="6"/>
      <c r="R2" s="6"/>
      <c r="S2" s="8">
        <v>1</v>
      </c>
      <c r="T2" s="8">
        <v>2</v>
      </c>
      <c r="U2" s="8">
        <v>3</v>
      </c>
      <c r="V2" s="8">
        <v>4</v>
      </c>
      <c r="W2" s="8">
        <v>5</v>
      </c>
      <c r="X2" s="8">
        <v>6</v>
      </c>
      <c r="Y2" s="8">
        <v>7</v>
      </c>
      <c r="Z2" s="8">
        <v>8</v>
      </c>
      <c r="AA2" s="8">
        <v>9</v>
      </c>
      <c r="AB2" s="8">
        <v>10</v>
      </c>
      <c r="AC2" s="8" t="s">
        <v>2</v>
      </c>
      <c r="AD2" s="8" t="s">
        <v>3</v>
      </c>
    </row>
    <row r="3" spans="2:35" ht="16.5" thickBot="1" x14ac:dyDescent="0.3">
      <c r="B3" s="9">
        <v>1</v>
      </c>
      <c r="C3" s="10" t="s">
        <v>4</v>
      </c>
      <c r="D3" s="8">
        <v>0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0</v>
      </c>
      <c r="K3" s="8">
        <v>1</v>
      </c>
      <c r="L3" s="8">
        <v>1</v>
      </c>
      <c r="M3" s="8">
        <v>1</v>
      </c>
      <c r="N3" s="8">
        <f>SUM(D3:M3)</f>
        <v>8</v>
      </c>
      <c r="O3" s="8">
        <v>20</v>
      </c>
      <c r="Q3" s="9">
        <v>1</v>
      </c>
      <c r="R3" s="10" t="s">
        <v>37</v>
      </c>
      <c r="S3" s="8">
        <v>2</v>
      </c>
      <c r="T3" s="8">
        <v>1</v>
      </c>
      <c r="U3" s="8">
        <v>1</v>
      </c>
      <c r="V3" s="8">
        <v>0</v>
      </c>
      <c r="W3" s="8">
        <v>1</v>
      </c>
      <c r="X3" s="8">
        <v>2</v>
      </c>
      <c r="Y3" s="8">
        <v>1</v>
      </c>
      <c r="Z3" s="8">
        <v>1</v>
      </c>
      <c r="AA3" s="8">
        <v>1</v>
      </c>
      <c r="AB3" s="8">
        <v>0</v>
      </c>
      <c r="AC3" s="8">
        <f>SUM(S3:AB3)</f>
        <v>10</v>
      </c>
      <c r="AD3" s="8">
        <v>25</v>
      </c>
      <c r="AF3" s="15"/>
      <c r="AG3" s="15"/>
    </row>
    <row r="4" spans="2:35" ht="16.5" thickBot="1" x14ac:dyDescent="0.3">
      <c r="B4" s="9">
        <v>2</v>
      </c>
      <c r="C4" s="10" t="s">
        <v>5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2</v>
      </c>
      <c r="J4" s="8">
        <v>1</v>
      </c>
      <c r="K4" s="8">
        <v>1</v>
      </c>
      <c r="L4" s="8">
        <v>1</v>
      </c>
      <c r="M4" s="8">
        <v>2</v>
      </c>
      <c r="N4" s="8">
        <v>12</v>
      </c>
      <c r="O4" s="8">
        <v>30</v>
      </c>
      <c r="Q4" s="9">
        <v>2</v>
      </c>
      <c r="R4" s="10" t="s">
        <v>38</v>
      </c>
      <c r="S4" s="8">
        <v>2</v>
      </c>
      <c r="T4" s="8">
        <v>2</v>
      </c>
      <c r="U4" s="8">
        <v>1</v>
      </c>
      <c r="V4" s="8">
        <v>0</v>
      </c>
      <c r="W4" s="8">
        <v>2</v>
      </c>
      <c r="X4" s="8">
        <v>2</v>
      </c>
      <c r="Y4" s="8">
        <v>1</v>
      </c>
      <c r="Z4" s="8">
        <v>1</v>
      </c>
      <c r="AA4" s="8">
        <v>2</v>
      </c>
      <c r="AB4" s="8">
        <v>3</v>
      </c>
      <c r="AC4" s="8">
        <f t="shared" ref="AC4:AC27" si="0">SUM(S4:AB4)</f>
        <v>16</v>
      </c>
      <c r="AD4" s="8">
        <v>40</v>
      </c>
      <c r="AF4" s="15"/>
      <c r="AG4" s="15"/>
    </row>
    <row r="5" spans="2:35" ht="16.5" thickBot="1" x14ac:dyDescent="0.3">
      <c r="B5" s="9">
        <v>3</v>
      </c>
      <c r="C5" s="10" t="s">
        <v>6</v>
      </c>
      <c r="D5" s="11">
        <v>2</v>
      </c>
      <c r="E5" s="11">
        <v>2</v>
      </c>
      <c r="F5" s="11">
        <v>2</v>
      </c>
      <c r="G5" s="11">
        <v>2</v>
      </c>
      <c r="H5" s="11">
        <v>2</v>
      </c>
      <c r="I5" s="11">
        <v>1</v>
      </c>
      <c r="J5" s="11">
        <v>1</v>
      </c>
      <c r="K5" s="11">
        <v>1</v>
      </c>
      <c r="L5" s="11">
        <v>1</v>
      </c>
      <c r="M5" s="11">
        <v>2</v>
      </c>
      <c r="N5" s="8">
        <f t="shared" ref="N5:N26" si="1">SUM(D5:M5)</f>
        <v>16</v>
      </c>
      <c r="O5" s="8">
        <v>40</v>
      </c>
      <c r="Q5" s="9">
        <v>3</v>
      </c>
      <c r="R5" s="10" t="s">
        <v>39</v>
      </c>
      <c r="S5" s="8">
        <v>4</v>
      </c>
      <c r="T5" s="8">
        <v>3</v>
      </c>
      <c r="U5" s="8">
        <v>2</v>
      </c>
      <c r="V5" s="8">
        <v>1</v>
      </c>
      <c r="W5" s="8">
        <v>2</v>
      </c>
      <c r="X5" s="8">
        <v>2</v>
      </c>
      <c r="Y5" s="8">
        <v>3</v>
      </c>
      <c r="Z5" s="8">
        <v>1</v>
      </c>
      <c r="AA5" s="8">
        <v>0</v>
      </c>
      <c r="AB5" s="8">
        <v>1</v>
      </c>
      <c r="AC5" s="8">
        <f t="shared" si="0"/>
        <v>19</v>
      </c>
      <c r="AD5" s="8" t="s">
        <v>61</v>
      </c>
      <c r="AF5" s="15"/>
      <c r="AG5" s="15"/>
    </row>
    <row r="6" spans="2:35" ht="16.5" thickBot="1" x14ac:dyDescent="0.3">
      <c r="B6" s="9">
        <v>4</v>
      </c>
      <c r="C6" s="10" t="s">
        <v>7</v>
      </c>
      <c r="D6" s="12">
        <v>4</v>
      </c>
      <c r="E6" s="13">
        <v>2</v>
      </c>
      <c r="F6" s="12">
        <v>3</v>
      </c>
      <c r="G6" s="13">
        <v>4</v>
      </c>
      <c r="H6" s="12">
        <v>4</v>
      </c>
      <c r="I6" s="13">
        <v>4</v>
      </c>
      <c r="J6" s="14">
        <v>4</v>
      </c>
      <c r="K6" s="12">
        <v>4</v>
      </c>
      <c r="L6" s="12">
        <v>2</v>
      </c>
      <c r="M6" s="12">
        <v>4</v>
      </c>
      <c r="N6" s="8">
        <f t="shared" si="1"/>
        <v>35</v>
      </c>
      <c r="O6" s="8">
        <v>50</v>
      </c>
      <c r="Q6" s="9">
        <v>4</v>
      </c>
      <c r="R6" s="10" t="s">
        <v>12</v>
      </c>
      <c r="S6" s="8">
        <v>1</v>
      </c>
      <c r="T6" s="8">
        <v>2</v>
      </c>
      <c r="U6" s="8">
        <v>1</v>
      </c>
      <c r="V6" s="8">
        <v>1</v>
      </c>
      <c r="W6" s="8">
        <v>3</v>
      </c>
      <c r="X6" s="8">
        <v>1</v>
      </c>
      <c r="Y6" s="8">
        <v>1</v>
      </c>
      <c r="Z6" s="8">
        <v>1</v>
      </c>
      <c r="AA6" s="8">
        <v>2</v>
      </c>
      <c r="AB6" s="8">
        <v>2</v>
      </c>
      <c r="AC6" s="8">
        <f t="shared" si="0"/>
        <v>15</v>
      </c>
      <c r="AD6" s="8" t="s">
        <v>68</v>
      </c>
      <c r="AE6" s="15"/>
      <c r="AF6" s="15"/>
      <c r="AG6" s="15"/>
    </row>
    <row r="7" spans="2:35" ht="16.5" thickBot="1" x14ac:dyDescent="0.3">
      <c r="B7" s="9">
        <v>5</v>
      </c>
      <c r="C7" s="10" t="s">
        <v>8</v>
      </c>
      <c r="D7" s="8">
        <v>4</v>
      </c>
      <c r="E7" s="8">
        <v>4</v>
      </c>
      <c r="F7" s="8">
        <v>3</v>
      </c>
      <c r="G7" s="8">
        <v>3</v>
      </c>
      <c r="H7" s="8">
        <v>4</v>
      </c>
      <c r="I7" s="8">
        <v>4</v>
      </c>
      <c r="J7" s="8">
        <v>3</v>
      </c>
      <c r="K7" s="8">
        <v>3</v>
      </c>
      <c r="L7" s="8">
        <v>2</v>
      </c>
      <c r="M7" s="8">
        <v>2</v>
      </c>
      <c r="N7" s="8">
        <f t="shared" si="1"/>
        <v>32</v>
      </c>
      <c r="O7" s="8">
        <v>25</v>
      </c>
      <c r="Q7" s="9">
        <v>5</v>
      </c>
      <c r="R7" s="10" t="s">
        <v>40</v>
      </c>
      <c r="S7" s="8">
        <v>2</v>
      </c>
      <c r="T7" s="8">
        <v>2</v>
      </c>
      <c r="U7" s="8">
        <v>1</v>
      </c>
      <c r="V7" s="8">
        <v>1</v>
      </c>
      <c r="W7" s="8">
        <v>1</v>
      </c>
      <c r="X7" s="8">
        <v>1</v>
      </c>
      <c r="Y7" s="8">
        <v>2</v>
      </c>
      <c r="Z7" s="8">
        <v>1</v>
      </c>
      <c r="AA7" s="8">
        <v>1</v>
      </c>
      <c r="AB7" s="8">
        <v>1</v>
      </c>
      <c r="AC7" s="8">
        <f t="shared" si="0"/>
        <v>13</v>
      </c>
      <c r="AD7" s="8" t="s">
        <v>69</v>
      </c>
      <c r="AF7" s="15"/>
      <c r="AG7" s="15"/>
    </row>
    <row r="8" spans="2:35" ht="16.5" thickBot="1" x14ac:dyDescent="0.3">
      <c r="B8" s="9">
        <v>6</v>
      </c>
      <c r="C8" s="10" t="s">
        <v>9</v>
      </c>
      <c r="D8" s="8">
        <v>4</v>
      </c>
      <c r="E8" s="8">
        <v>1</v>
      </c>
      <c r="F8" s="8">
        <v>4</v>
      </c>
      <c r="G8" s="8">
        <v>4</v>
      </c>
      <c r="H8" s="8">
        <v>4</v>
      </c>
      <c r="I8" s="8">
        <v>1</v>
      </c>
      <c r="J8" s="8">
        <v>1</v>
      </c>
      <c r="K8" s="8">
        <v>2</v>
      </c>
      <c r="L8" s="8">
        <v>1</v>
      </c>
      <c r="M8" s="8">
        <v>3</v>
      </c>
      <c r="N8" s="8">
        <f t="shared" si="1"/>
        <v>25</v>
      </c>
      <c r="O8" s="8">
        <v>10</v>
      </c>
      <c r="Q8" s="9">
        <v>6</v>
      </c>
      <c r="R8" s="10" t="s">
        <v>41</v>
      </c>
      <c r="S8" s="8">
        <v>4</v>
      </c>
      <c r="T8" s="8">
        <v>1</v>
      </c>
      <c r="U8" s="8">
        <v>1</v>
      </c>
      <c r="V8" s="8">
        <v>1</v>
      </c>
      <c r="W8" s="8">
        <v>2</v>
      </c>
      <c r="X8" s="8">
        <v>1</v>
      </c>
      <c r="Y8" s="8">
        <v>1</v>
      </c>
      <c r="Z8" s="8">
        <v>2</v>
      </c>
      <c r="AA8" s="8">
        <v>2</v>
      </c>
      <c r="AB8" s="8">
        <v>1</v>
      </c>
      <c r="AC8" s="8">
        <f t="shared" si="0"/>
        <v>16</v>
      </c>
      <c r="AD8" s="8">
        <v>40</v>
      </c>
      <c r="AF8" s="15"/>
      <c r="AG8" s="15"/>
    </row>
    <row r="9" spans="2:35" ht="16.5" thickBot="1" x14ac:dyDescent="0.3">
      <c r="B9" s="9">
        <v>7</v>
      </c>
      <c r="C9" s="10" t="s">
        <v>10</v>
      </c>
      <c r="D9" s="8">
        <v>4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2</v>
      </c>
      <c r="K9" s="8">
        <v>1</v>
      </c>
      <c r="L9" s="8">
        <v>1</v>
      </c>
      <c r="M9" s="8">
        <v>1</v>
      </c>
      <c r="N9" s="8">
        <f t="shared" si="1"/>
        <v>14</v>
      </c>
      <c r="O9" s="8">
        <v>35</v>
      </c>
      <c r="Q9" s="9">
        <v>7</v>
      </c>
      <c r="R9" s="10" t="s">
        <v>42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f t="shared" si="0"/>
        <v>10</v>
      </c>
      <c r="AD9" s="8">
        <v>25</v>
      </c>
      <c r="AF9" s="15"/>
      <c r="AG9" s="15"/>
    </row>
    <row r="10" spans="2:35" ht="16.5" thickBot="1" x14ac:dyDescent="0.3">
      <c r="B10" s="9">
        <v>8</v>
      </c>
      <c r="C10" s="10" t="s">
        <v>11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2</v>
      </c>
      <c r="K10" s="8">
        <v>2</v>
      </c>
      <c r="L10" s="8">
        <v>1</v>
      </c>
      <c r="M10" s="8">
        <v>1</v>
      </c>
      <c r="N10" s="8">
        <f t="shared" si="1"/>
        <v>12</v>
      </c>
      <c r="O10" s="8">
        <v>30</v>
      </c>
      <c r="Q10" s="9">
        <v>8</v>
      </c>
      <c r="R10" s="10" t="s">
        <v>43</v>
      </c>
      <c r="S10" s="8">
        <v>1</v>
      </c>
      <c r="T10" s="8">
        <v>1</v>
      </c>
      <c r="U10" s="8">
        <v>1</v>
      </c>
      <c r="V10" s="8">
        <v>0</v>
      </c>
      <c r="W10" s="8">
        <v>2</v>
      </c>
      <c r="X10" s="8">
        <v>1</v>
      </c>
      <c r="Y10" s="8">
        <v>1</v>
      </c>
      <c r="Z10" s="8">
        <v>1</v>
      </c>
      <c r="AA10" s="8">
        <v>2</v>
      </c>
      <c r="AB10" s="8">
        <v>2</v>
      </c>
      <c r="AC10" s="8">
        <f t="shared" si="0"/>
        <v>12</v>
      </c>
      <c r="AD10" s="8">
        <v>30</v>
      </c>
      <c r="AF10" s="15"/>
      <c r="AG10" s="15"/>
    </row>
    <row r="11" spans="2:35" ht="16.5" thickBot="1" x14ac:dyDescent="0.3">
      <c r="B11" s="9">
        <v>9</v>
      </c>
      <c r="C11" s="10" t="s">
        <v>12</v>
      </c>
      <c r="D11" s="8">
        <v>1</v>
      </c>
      <c r="E11" s="8">
        <v>1</v>
      </c>
      <c r="F11" s="8">
        <v>2</v>
      </c>
      <c r="G11" s="8">
        <v>3</v>
      </c>
      <c r="H11" s="8">
        <v>3</v>
      </c>
      <c r="I11" s="8">
        <v>2</v>
      </c>
      <c r="J11" s="8">
        <v>1</v>
      </c>
      <c r="K11" s="8">
        <v>1</v>
      </c>
      <c r="L11" s="8">
        <v>1</v>
      </c>
      <c r="M11" s="8">
        <v>1</v>
      </c>
      <c r="N11" s="8">
        <f t="shared" si="1"/>
        <v>16</v>
      </c>
      <c r="O11" s="8">
        <v>40</v>
      </c>
      <c r="Q11" s="9">
        <v>9</v>
      </c>
      <c r="R11" s="10" t="s">
        <v>44</v>
      </c>
      <c r="S11" s="8">
        <v>1</v>
      </c>
      <c r="T11" s="8">
        <v>2</v>
      </c>
      <c r="U11" s="8">
        <v>1</v>
      </c>
      <c r="V11" s="8">
        <v>1</v>
      </c>
      <c r="W11" s="8">
        <v>1</v>
      </c>
      <c r="X11" s="8">
        <v>0</v>
      </c>
      <c r="Y11" s="8">
        <v>1</v>
      </c>
      <c r="Z11" s="8">
        <v>1</v>
      </c>
      <c r="AA11" s="8">
        <v>1</v>
      </c>
      <c r="AB11" s="8">
        <v>1</v>
      </c>
      <c r="AC11" s="8">
        <f t="shared" si="0"/>
        <v>10</v>
      </c>
      <c r="AD11" s="8">
        <v>25</v>
      </c>
      <c r="AF11" s="15"/>
      <c r="AG11" s="15"/>
    </row>
    <row r="12" spans="2:35" ht="16.5" thickBot="1" x14ac:dyDescent="0.3">
      <c r="B12" s="9">
        <v>10</v>
      </c>
      <c r="C12" s="10" t="s">
        <v>13</v>
      </c>
      <c r="D12" s="8">
        <v>4</v>
      </c>
      <c r="E12" s="8">
        <v>1</v>
      </c>
      <c r="F12" s="8">
        <v>3</v>
      </c>
      <c r="G12" s="8">
        <v>2</v>
      </c>
      <c r="H12" s="8">
        <v>4</v>
      </c>
      <c r="I12" s="8">
        <v>2</v>
      </c>
      <c r="J12" s="8">
        <v>1</v>
      </c>
      <c r="K12" s="8">
        <v>1</v>
      </c>
      <c r="L12" s="8">
        <v>1</v>
      </c>
      <c r="M12" s="8">
        <v>1</v>
      </c>
      <c r="N12" s="8">
        <f t="shared" si="1"/>
        <v>20</v>
      </c>
      <c r="O12" s="8">
        <v>50</v>
      </c>
      <c r="Q12" s="9">
        <v>10</v>
      </c>
      <c r="R12" s="10" t="s">
        <v>45</v>
      </c>
      <c r="S12" s="8">
        <v>1</v>
      </c>
      <c r="T12" s="8">
        <v>2</v>
      </c>
      <c r="U12" s="8">
        <v>1</v>
      </c>
      <c r="V12" s="8">
        <v>1</v>
      </c>
      <c r="W12" s="8">
        <v>4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f t="shared" si="0"/>
        <v>14</v>
      </c>
      <c r="AD12" s="8">
        <v>35</v>
      </c>
      <c r="AF12" s="15"/>
      <c r="AG12" s="15"/>
    </row>
    <row r="13" spans="2:35" ht="16.5" thickBot="1" x14ac:dyDescent="0.3">
      <c r="B13" s="9">
        <v>11</v>
      </c>
      <c r="C13" s="10" t="s">
        <v>15</v>
      </c>
      <c r="D13" s="8">
        <v>2</v>
      </c>
      <c r="E13" s="8">
        <v>2</v>
      </c>
      <c r="F13" s="8">
        <v>1</v>
      </c>
      <c r="G13" s="8">
        <v>2</v>
      </c>
      <c r="H13" s="8">
        <v>3</v>
      </c>
      <c r="I13" s="8">
        <v>1</v>
      </c>
      <c r="J13" s="8">
        <v>2</v>
      </c>
      <c r="K13" s="8">
        <v>2</v>
      </c>
      <c r="L13" s="8">
        <v>1</v>
      </c>
      <c r="M13" s="8">
        <v>1</v>
      </c>
      <c r="N13" s="8">
        <v>17</v>
      </c>
      <c r="O13" s="8" t="s">
        <v>54</v>
      </c>
      <c r="Q13" s="9">
        <v>11</v>
      </c>
      <c r="R13" s="10" t="s">
        <v>46</v>
      </c>
      <c r="S13" s="8">
        <v>1</v>
      </c>
      <c r="T13" s="8">
        <v>2</v>
      </c>
      <c r="U13" s="8">
        <v>1</v>
      </c>
      <c r="V13" s="8">
        <v>1</v>
      </c>
      <c r="W13" s="8">
        <v>1</v>
      </c>
      <c r="X13" s="8">
        <v>2</v>
      </c>
      <c r="Y13" s="8">
        <v>1</v>
      </c>
      <c r="Z13" s="8">
        <v>1</v>
      </c>
      <c r="AA13" s="8">
        <v>1</v>
      </c>
      <c r="AB13" s="8">
        <v>1</v>
      </c>
      <c r="AC13" s="8">
        <f t="shared" si="0"/>
        <v>12</v>
      </c>
      <c r="AD13" s="8">
        <v>30</v>
      </c>
      <c r="AF13" s="15"/>
      <c r="AG13" s="15"/>
    </row>
    <row r="14" spans="2:35" ht="16.5" thickBot="1" x14ac:dyDescent="0.3">
      <c r="B14" s="9">
        <v>12</v>
      </c>
      <c r="C14" s="10" t="s">
        <v>16</v>
      </c>
      <c r="D14" s="8">
        <v>4</v>
      </c>
      <c r="E14" s="8">
        <v>3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f t="shared" si="1"/>
        <v>15</v>
      </c>
      <c r="O14" s="8" t="s">
        <v>68</v>
      </c>
      <c r="Q14" s="9">
        <v>12</v>
      </c>
      <c r="R14" s="10" t="s">
        <v>47</v>
      </c>
      <c r="S14" s="8">
        <v>0</v>
      </c>
      <c r="T14" s="8">
        <v>0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f t="shared" si="0"/>
        <v>8</v>
      </c>
      <c r="AD14" s="8">
        <v>20</v>
      </c>
      <c r="AF14" s="15"/>
      <c r="AG14" s="15"/>
      <c r="AI14" t="s">
        <v>65</v>
      </c>
    </row>
    <row r="15" spans="2:35" ht="16.5" thickBot="1" x14ac:dyDescent="0.3">
      <c r="B15" s="9">
        <v>13</v>
      </c>
      <c r="C15" s="10" t="s">
        <v>17</v>
      </c>
      <c r="D15" s="8">
        <v>4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f t="shared" si="1"/>
        <v>13</v>
      </c>
      <c r="O15" s="8" t="s">
        <v>69</v>
      </c>
      <c r="Q15" s="9">
        <v>13</v>
      </c>
      <c r="R15" s="10" t="s">
        <v>48</v>
      </c>
      <c r="S15" s="8">
        <v>2</v>
      </c>
      <c r="T15" s="8">
        <v>2</v>
      </c>
      <c r="U15" s="8">
        <v>1</v>
      </c>
      <c r="V15" s="8">
        <v>1</v>
      </c>
      <c r="W15" s="8">
        <v>2</v>
      </c>
      <c r="X15" s="8">
        <v>2</v>
      </c>
      <c r="Y15" s="8">
        <v>0</v>
      </c>
      <c r="Z15" s="8">
        <v>1</v>
      </c>
      <c r="AA15" s="8">
        <v>1</v>
      </c>
      <c r="AB15" s="8">
        <v>1</v>
      </c>
      <c r="AC15" s="8">
        <f t="shared" si="0"/>
        <v>13</v>
      </c>
      <c r="AD15" s="8" t="s">
        <v>69</v>
      </c>
      <c r="AF15" s="15"/>
      <c r="AG15" s="15"/>
    </row>
    <row r="16" spans="2:35" ht="16.5" thickBot="1" x14ac:dyDescent="0.3">
      <c r="B16" s="9">
        <v>14</v>
      </c>
      <c r="C16" s="10" t="s">
        <v>19</v>
      </c>
      <c r="D16" s="8">
        <v>1</v>
      </c>
      <c r="E16" s="8">
        <v>1</v>
      </c>
      <c r="F16" s="8">
        <v>1</v>
      </c>
      <c r="G16" s="8">
        <v>2</v>
      </c>
      <c r="H16" s="8">
        <v>2</v>
      </c>
      <c r="I16" s="8">
        <v>2</v>
      </c>
      <c r="J16" s="8">
        <v>4</v>
      </c>
      <c r="K16" s="8">
        <v>2</v>
      </c>
      <c r="L16" s="8">
        <v>2</v>
      </c>
      <c r="M16" s="8">
        <v>2</v>
      </c>
      <c r="N16" s="8">
        <v>19</v>
      </c>
      <c r="O16" s="8" t="s">
        <v>61</v>
      </c>
      <c r="Q16" s="9">
        <v>14</v>
      </c>
      <c r="R16" s="10" t="s">
        <v>49</v>
      </c>
      <c r="S16" s="8">
        <v>1</v>
      </c>
      <c r="T16" s="8">
        <v>2</v>
      </c>
      <c r="U16" s="8">
        <v>1</v>
      </c>
      <c r="V16" s="8">
        <v>2</v>
      </c>
      <c r="W16" s="8">
        <v>2</v>
      </c>
      <c r="X16" s="8">
        <v>2</v>
      </c>
      <c r="Y16" s="8">
        <v>1</v>
      </c>
      <c r="Z16" s="8">
        <v>1</v>
      </c>
      <c r="AA16" s="8">
        <v>0</v>
      </c>
      <c r="AB16" s="8">
        <v>1</v>
      </c>
      <c r="AC16" s="8">
        <f t="shared" si="0"/>
        <v>13</v>
      </c>
      <c r="AD16" s="8" t="s">
        <v>69</v>
      </c>
      <c r="AF16" s="15"/>
      <c r="AG16" s="15"/>
    </row>
    <row r="17" spans="2:33" ht="16.5" thickBot="1" x14ac:dyDescent="0.3">
      <c r="B17" s="9">
        <v>15</v>
      </c>
      <c r="C17" s="10" t="s">
        <v>20</v>
      </c>
      <c r="D17" s="8">
        <v>1</v>
      </c>
      <c r="E17" s="8">
        <v>2</v>
      </c>
      <c r="F17" s="8">
        <v>1</v>
      </c>
      <c r="G17" s="8">
        <v>3</v>
      </c>
      <c r="H17" s="8">
        <v>2</v>
      </c>
      <c r="I17" s="8">
        <v>2</v>
      </c>
      <c r="J17" s="8">
        <v>2</v>
      </c>
      <c r="K17" s="8">
        <v>2</v>
      </c>
      <c r="L17" s="8">
        <v>2</v>
      </c>
      <c r="M17" s="8">
        <v>3</v>
      </c>
      <c r="N17" s="8">
        <f t="shared" si="1"/>
        <v>20</v>
      </c>
      <c r="O17" s="8">
        <v>50</v>
      </c>
      <c r="Q17" s="9">
        <v>15</v>
      </c>
      <c r="R17" s="10" t="s">
        <v>50</v>
      </c>
      <c r="S17" s="8">
        <v>2</v>
      </c>
      <c r="T17" s="8">
        <v>2</v>
      </c>
      <c r="U17" s="8">
        <v>1</v>
      </c>
      <c r="V17" s="8">
        <v>1</v>
      </c>
      <c r="W17" s="8">
        <v>2</v>
      </c>
      <c r="X17" s="8">
        <v>1</v>
      </c>
      <c r="Y17" s="8">
        <v>1</v>
      </c>
      <c r="Z17" s="8">
        <v>2</v>
      </c>
      <c r="AA17" s="8">
        <v>2</v>
      </c>
      <c r="AB17" s="8">
        <v>2</v>
      </c>
      <c r="AC17" s="8">
        <f t="shared" si="0"/>
        <v>16</v>
      </c>
      <c r="AD17" s="8">
        <v>40</v>
      </c>
      <c r="AF17" s="15"/>
      <c r="AG17" s="15"/>
    </row>
    <row r="18" spans="2:33" ht="16.5" thickBot="1" x14ac:dyDescent="0.3">
      <c r="B18" s="9">
        <v>16</v>
      </c>
      <c r="C18" s="10" t="s">
        <v>21</v>
      </c>
      <c r="D18" s="8">
        <v>2</v>
      </c>
      <c r="E18" s="8">
        <v>1</v>
      </c>
      <c r="F18" s="8">
        <v>1</v>
      </c>
      <c r="G18" s="8">
        <v>2</v>
      </c>
      <c r="H18" s="8">
        <v>2</v>
      </c>
      <c r="I18" s="8">
        <v>1</v>
      </c>
      <c r="J18" s="8">
        <v>1</v>
      </c>
      <c r="K18" s="8">
        <v>2</v>
      </c>
      <c r="L18" s="8">
        <v>2</v>
      </c>
      <c r="M18" s="8">
        <v>2</v>
      </c>
      <c r="N18" s="8">
        <f t="shared" si="1"/>
        <v>16</v>
      </c>
      <c r="O18" s="8">
        <v>40</v>
      </c>
      <c r="Q18" s="9">
        <v>16</v>
      </c>
      <c r="R18" s="10" t="s">
        <v>51</v>
      </c>
      <c r="S18" s="8">
        <v>2</v>
      </c>
      <c r="T18" s="8">
        <v>2</v>
      </c>
      <c r="U18" s="8">
        <v>1</v>
      </c>
      <c r="V18" s="8">
        <v>1</v>
      </c>
      <c r="W18" s="8">
        <v>4</v>
      </c>
      <c r="X18" s="8">
        <v>1</v>
      </c>
      <c r="Y18" s="8">
        <v>1</v>
      </c>
      <c r="Z18" s="8">
        <v>2</v>
      </c>
      <c r="AA18" s="8">
        <v>3</v>
      </c>
      <c r="AB18" s="8">
        <v>2</v>
      </c>
      <c r="AC18" s="8">
        <f t="shared" si="0"/>
        <v>19</v>
      </c>
      <c r="AD18" s="8" t="s">
        <v>61</v>
      </c>
      <c r="AF18" s="15"/>
      <c r="AG18" s="15"/>
    </row>
    <row r="19" spans="2:33" ht="16.5" thickBot="1" x14ac:dyDescent="0.3">
      <c r="B19" s="9">
        <v>17</v>
      </c>
      <c r="C19" s="10" t="s">
        <v>22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f t="shared" si="1"/>
        <v>10</v>
      </c>
      <c r="O19" s="8">
        <v>25</v>
      </c>
      <c r="Q19" s="9">
        <v>17</v>
      </c>
      <c r="R19" s="10" t="s">
        <v>52</v>
      </c>
      <c r="S19" s="8">
        <v>1</v>
      </c>
      <c r="T19" s="8">
        <v>1</v>
      </c>
      <c r="U19" s="8">
        <v>1</v>
      </c>
      <c r="V19" s="8">
        <v>2</v>
      </c>
      <c r="W19" s="8">
        <v>1</v>
      </c>
      <c r="X19" s="8">
        <v>1</v>
      </c>
      <c r="Y19" s="8">
        <v>0</v>
      </c>
      <c r="Z19" s="8">
        <v>1</v>
      </c>
      <c r="AA19" s="8">
        <v>1</v>
      </c>
      <c r="AB19" s="8">
        <v>1</v>
      </c>
      <c r="AC19" s="8">
        <f t="shared" si="0"/>
        <v>10</v>
      </c>
      <c r="AD19" s="8">
        <v>25</v>
      </c>
      <c r="AF19" s="15"/>
      <c r="AG19" s="15"/>
    </row>
    <row r="20" spans="2:33" ht="16.5" thickBot="1" x14ac:dyDescent="0.3">
      <c r="B20" s="9">
        <v>18</v>
      </c>
      <c r="C20" s="10" t="s">
        <v>23</v>
      </c>
      <c r="D20" s="8">
        <v>1</v>
      </c>
      <c r="E20" s="8">
        <v>1</v>
      </c>
      <c r="F20" s="8">
        <v>2</v>
      </c>
      <c r="G20" s="8">
        <v>1</v>
      </c>
      <c r="H20" s="8">
        <v>2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f t="shared" si="1"/>
        <v>12</v>
      </c>
      <c r="O20" s="8">
        <v>30</v>
      </c>
      <c r="Q20" s="9">
        <v>18</v>
      </c>
      <c r="R20" s="10" t="s">
        <v>53</v>
      </c>
      <c r="S20" s="8">
        <v>2</v>
      </c>
      <c r="T20" s="8">
        <v>1</v>
      </c>
      <c r="U20" s="8">
        <v>1</v>
      </c>
      <c r="V20" s="8">
        <v>1</v>
      </c>
      <c r="W20" s="8">
        <v>2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f t="shared" si="0"/>
        <v>12</v>
      </c>
      <c r="AD20" s="8">
        <v>30</v>
      </c>
      <c r="AF20" s="15"/>
      <c r="AG20" s="15"/>
    </row>
    <row r="21" spans="2:33" ht="16.5" thickBot="1" x14ac:dyDescent="0.3">
      <c r="B21" s="9">
        <v>19</v>
      </c>
      <c r="C21" s="10" t="s">
        <v>25</v>
      </c>
      <c r="D21" s="8">
        <v>1</v>
      </c>
      <c r="E21" s="8">
        <v>0</v>
      </c>
      <c r="F21" s="8">
        <v>0</v>
      </c>
      <c r="G21" s="8">
        <v>1</v>
      </c>
      <c r="H21" s="8">
        <v>0</v>
      </c>
      <c r="I21" s="8">
        <v>1</v>
      </c>
      <c r="J21" s="8">
        <v>0</v>
      </c>
      <c r="K21" s="8">
        <v>1</v>
      </c>
      <c r="L21" s="8">
        <v>1</v>
      </c>
      <c r="M21" s="8">
        <v>1</v>
      </c>
      <c r="N21" s="8">
        <f t="shared" si="1"/>
        <v>6</v>
      </c>
      <c r="O21" s="8">
        <v>15</v>
      </c>
      <c r="Q21" s="9">
        <v>19</v>
      </c>
      <c r="R21" s="10" t="s">
        <v>55</v>
      </c>
      <c r="S21" s="8">
        <v>1</v>
      </c>
      <c r="T21" s="8">
        <v>1</v>
      </c>
      <c r="U21" s="8">
        <v>1</v>
      </c>
      <c r="V21" s="8">
        <v>0</v>
      </c>
      <c r="W21" s="8">
        <v>1</v>
      </c>
      <c r="X21" s="8">
        <v>1</v>
      </c>
      <c r="Y21" s="8">
        <v>0</v>
      </c>
      <c r="Z21" s="8">
        <v>0</v>
      </c>
      <c r="AA21" s="8">
        <v>1</v>
      </c>
      <c r="AB21" s="8">
        <v>0</v>
      </c>
      <c r="AC21" s="8">
        <f t="shared" si="0"/>
        <v>6</v>
      </c>
      <c r="AD21" s="8">
        <v>15</v>
      </c>
      <c r="AF21" s="15"/>
      <c r="AG21" s="15"/>
    </row>
    <row r="22" spans="2:33" ht="16.5" thickBot="1" x14ac:dyDescent="0.3">
      <c r="B22" s="9">
        <v>20</v>
      </c>
      <c r="C22" s="10" t="s">
        <v>26</v>
      </c>
      <c r="D22" s="8">
        <v>4</v>
      </c>
      <c r="E22" s="8">
        <v>4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2</v>
      </c>
      <c r="M22" s="8">
        <v>1</v>
      </c>
      <c r="N22" s="8">
        <f t="shared" si="1"/>
        <v>17</v>
      </c>
      <c r="O22" s="8" t="s">
        <v>70</v>
      </c>
      <c r="Q22" s="9">
        <v>20</v>
      </c>
      <c r="R22" s="10" t="s">
        <v>56</v>
      </c>
      <c r="S22" s="8">
        <v>3</v>
      </c>
      <c r="T22" s="8">
        <v>2</v>
      </c>
      <c r="U22" s="8">
        <v>2</v>
      </c>
      <c r="V22" s="8">
        <v>1</v>
      </c>
      <c r="W22" s="8">
        <v>2</v>
      </c>
      <c r="X22" s="8">
        <v>1</v>
      </c>
      <c r="Y22" s="8">
        <v>1</v>
      </c>
      <c r="Z22" s="8">
        <v>1</v>
      </c>
      <c r="AA22" s="8">
        <v>2</v>
      </c>
      <c r="AB22" s="8">
        <v>1</v>
      </c>
      <c r="AC22" s="8">
        <f t="shared" si="0"/>
        <v>16</v>
      </c>
      <c r="AD22" s="8">
        <v>40</v>
      </c>
      <c r="AF22" s="15"/>
      <c r="AG22" s="15"/>
    </row>
    <row r="23" spans="2:33" ht="16.5" thickBot="1" x14ac:dyDescent="0.3">
      <c r="B23" s="9">
        <v>21</v>
      </c>
      <c r="C23" s="10" t="s">
        <v>27</v>
      </c>
      <c r="D23" s="8">
        <v>3</v>
      </c>
      <c r="E23" s="8">
        <v>1</v>
      </c>
      <c r="F23" s="8">
        <v>2</v>
      </c>
      <c r="G23" s="8">
        <v>2</v>
      </c>
      <c r="H23" s="8">
        <v>1</v>
      </c>
      <c r="I23" s="8">
        <v>1</v>
      </c>
      <c r="J23" s="8">
        <v>1</v>
      </c>
      <c r="K23" s="8">
        <v>1</v>
      </c>
      <c r="L23" s="8">
        <v>2</v>
      </c>
      <c r="M23" s="8">
        <v>1</v>
      </c>
      <c r="N23" s="8">
        <f t="shared" si="1"/>
        <v>15</v>
      </c>
      <c r="O23" s="8" t="s">
        <v>68</v>
      </c>
      <c r="Q23" s="9">
        <v>21</v>
      </c>
      <c r="R23" s="10" t="s">
        <v>57</v>
      </c>
      <c r="S23" s="8">
        <v>0</v>
      </c>
      <c r="T23" s="8">
        <v>1</v>
      </c>
      <c r="U23" s="8">
        <v>2</v>
      </c>
      <c r="V23" s="8">
        <v>2</v>
      </c>
      <c r="W23" s="8">
        <v>2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f t="shared" si="0"/>
        <v>12</v>
      </c>
      <c r="AD23" s="8">
        <v>30</v>
      </c>
      <c r="AF23" s="15"/>
      <c r="AG23" s="15"/>
    </row>
    <row r="24" spans="2:33" ht="16.5" thickBot="1" x14ac:dyDescent="0.3">
      <c r="B24" s="9">
        <v>22</v>
      </c>
      <c r="C24" s="10" t="s">
        <v>28</v>
      </c>
      <c r="D24" s="8">
        <v>1</v>
      </c>
      <c r="E24" s="8">
        <v>1</v>
      </c>
      <c r="F24" s="8">
        <v>0</v>
      </c>
      <c r="G24" s="8">
        <v>0</v>
      </c>
      <c r="H24" s="8">
        <v>1</v>
      </c>
      <c r="I24" s="8">
        <v>1</v>
      </c>
      <c r="J24" s="8">
        <v>1</v>
      </c>
      <c r="K24" s="8">
        <v>0</v>
      </c>
      <c r="L24" s="8">
        <v>0</v>
      </c>
      <c r="M24" s="8">
        <v>1</v>
      </c>
      <c r="N24" s="8">
        <f t="shared" si="1"/>
        <v>6</v>
      </c>
      <c r="O24" s="8">
        <v>15</v>
      </c>
      <c r="Q24" s="9">
        <v>22</v>
      </c>
      <c r="R24" s="10" t="s">
        <v>58</v>
      </c>
      <c r="S24" s="8">
        <v>1</v>
      </c>
      <c r="T24" s="8">
        <v>1</v>
      </c>
      <c r="U24" s="8">
        <v>1</v>
      </c>
      <c r="V24" s="8">
        <v>1</v>
      </c>
      <c r="W24" s="8">
        <v>0</v>
      </c>
      <c r="X24" s="8">
        <v>1</v>
      </c>
      <c r="Y24" s="8">
        <v>0</v>
      </c>
      <c r="Z24" s="8">
        <v>1</v>
      </c>
      <c r="AA24" s="8">
        <v>1</v>
      </c>
      <c r="AB24" s="8">
        <v>1</v>
      </c>
      <c r="AC24" s="8">
        <f t="shared" si="0"/>
        <v>8</v>
      </c>
      <c r="AD24" s="8">
        <v>20</v>
      </c>
      <c r="AF24" s="15"/>
      <c r="AG24" s="15"/>
    </row>
    <row r="25" spans="2:33" ht="16.5" thickBot="1" x14ac:dyDescent="0.3">
      <c r="B25" s="9">
        <v>23</v>
      </c>
      <c r="C25" s="10" t="s">
        <v>29</v>
      </c>
      <c r="D25" s="8">
        <v>2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2</v>
      </c>
      <c r="L25" s="8">
        <v>2</v>
      </c>
      <c r="M25" s="8">
        <v>1</v>
      </c>
      <c r="N25" s="8">
        <f t="shared" si="1"/>
        <v>13</v>
      </c>
      <c r="O25" s="8" t="s">
        <v>69</v>
      </c>
      <c r="Q25" s="9">
        <v>23</v>
      </c>
      <c r="R25" s="10" t="s">
        <v>59</v>
      </c>
      <c r="S25" s="8">
        <v>2</v>
      </c>
      <c r="T25" s="8">
        <v>2</v>
      </c>
      <c r="U25" s="8">
        <v>0</v>
      </c>
      <c r="V25" s="8">
        <v>1</v>
      </c>
      <c r="W25" s="8">
        <v>2</v>
      </c>
      <c r="X25" s="8">
        <v>2</v>
      </c>
      <c r="Y25" s="8">
        <v>3</v>
      </c>
      <c r="Z25" s="8">
        <v>2</v>
      </c>
      <c r="AA25" s="8">
        <v>1</v>
      </c>
      <c r="AB25" s="8">
        <v>1</v>
      </c>
      <c r="AC25" s="8">
        <f t="shared" si="0"/>
        <v>16</v>
      </c>
      <c r="AD25" s="8">
        <v>40</v>
      </c>
      <c r="AF25" s="15"/>
      <c r="AG25" s="15"/>
    </row>
    <row r="26" spans="2:33" ht="16.5" thickBot="1" x14ac:dyDescent="0.3">
      <c r="B26" s="9">
        <v>24</v>
      </c>
      <c r="C26" s="10" t="s">
        <v>30</v>
      </c>
      <c r="D26" s="8">
        <v>1</v>
      </c>
      <c r="E26" s="8">
        <v>1</v>
      </c>
      <c r="F26" s="8">
        <v>3</v>
      </c>
      <c r="G26" s="8">
        <v>1</v>
      </c>
      <c r="H26" s="8">
        <v>2</v>
      </c>
      <c r="I26" s="8">
        <v>2</v>
      </c>
      <c r="J26" s="8">
        <v>1</v>
      </c>
      <c r="K26" s="8">
        <v>2</v>
      </c>
      <c r="L26" s="8">
        <v>1</v>
      </c>
      <c r="M26" s="8">
        <v>1</v>
      </c>
      <c r="N26" s="8">
        <f t="shared" si="1"/>
        <v>15</v>
      </c>
      <c r="O26" s="8" t="s">
        <v>71</v>
      </c>
      <c r="Q26" s="9">
        <v>24</v>
      </c>
      <c r="R26" s="10" t="s">
        <v>60</v>
      </c>
      <c r="S26" s="8">
        <v>1</v>
      </c>
      <c r="T26" s="8">
        <v>2</v>
      </c>
      <c r="U26" s="8">
        <v>1</v>
      </c>
      <c r="V26" s="8">
        <v>3</v>
      </c>
      <c r="W26" s="8">
        <v>4</v>
      </c>
      <c r="X26" s="8">
        <v>1</v>
      </c>
      <c r="Y26" s="8">
        <v>1</v>
      </c>
      <c r="Z26" s="8">
        <v>1</v>
      </c>
      <c r="AA26" s="8">
        <v>4</v>
      </c>
      <c r="AB26" s="8">
        <v>1</v>
      </c>
      <c r="AC26" s="8">
        <f t="shared" si="0"/>
        <v>19</v>
      </c>
      <c r="AD26" s="8" t="s">
        <v>61</v>
      </c>
      <c r="AF26" s="15"/>
      <c r="AG26" s="15"/>
    </row>
    <row r="27" spans="2:33" ht="16.5" thickBot="1" x14ac:dyDescent="0.3">
      <c r="B27" s="9">
        <v>25</v>
      </c>
      <c r="C27" s="10" t="s">
        <v>31</v>
      </c>
      <c r="D27" s="8">
        <v>1</v>
      </c>
      <c r="E27" s="8">
        <v>1</v>
      </c>
      <c r="F27" s="8">
        <v>0</v>
      </c>
      <c r="G27" s="8">
        <v>1</v>
      </c>
      <c r="H27" s="8">
        <v>0</v>
      </c>
      <c r="I27" s="8">
        <v>1</v>
      </c>
      <c r="J27" s="8">
        <v>0</v>
      </c>
      <c r="K27" s="8">
        <v>0</v>
      </c>
      <c r="L27" s="8">
        <v>1</v>
      </c>
      <c r="M27" s="8">
        <v>1</v>
      </c>
      <c r="N27" s="8">
        <v>6</v>
      </c>
      <c r="O27" s="8">
        <v>15</v>
      </c>
      <c r="Q27" s="9">
        <v>25</v>
      </c>
      <c r="R27" s="10" t="s">
        <v>62</v>
      </c>
      <c r="S27" s="8">
        <v>1</v>
      </c>
      <c r="T27" s="8">
        <v>2</v>
      </c>
      <c r="U27" s="8">
        <v>1</v>
      </c>
      <c r="V27" s="8">
        <v>3</v>
      </c>
      <c r="W27" s="8">
        <v>4</v>
      </c>
      <c r="X27" s="8">
        <v>3</v>
      </c>
      <c r="Y27" s="8">
        <v>1</v>
      </c>
      <c r="Z27" s="8">
        <v>1</v>
      </c>
      <c r="AA27" s="8">
        <v>3</v>
      </c>
      <c r="AB27" s="8">
        <v>1</v>
      </c>
      <c r="AC27" s="8">
        <f t="shared" si="0"/>
        <v>20</v>
      </c>
      <c r="AD27" s="8">
        <v>50</v>
      </c>
    </row>
    <row r="28" spans="2:33" ht="16.5" thickBot="1" x14ac:dyDescent="0.3">
      <c r="B28" s="9"/>
      <c r="C28" s="10" t="s">
        <v>32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>
        <f>SUM(N3:N27)</f>
        <v>390</v>
      </c>
      <c r="O28" s="8">
        <f>SUM(O3:O27)</f>
        <v>520</v>
      </c>
      <c r="Q28" s="9"/>
      <c r="R28" s="10" t="s">
        <v>32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>
        <f>SUM(AC3:AC27)</f>
        <v>335</v>
      </c>
      <c r="AD28" s="8">
        <f>SUM(AD3:AD27)</f>
        <v>560</v>
      </c>
    </row>
    <row r="29" spans="2:33" ht="16.5" thickBot="1" x14ac:dyDescent="0.3">
      <c r="B29" s="9"/>
      <c r="C29" s="10" t="s">
        <v>33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>
        <f>AVERAGE(N3:N27)</f>
        <v>15.6</v>
      </c>
      <c r="O29" s="8">
        <f>AVERAGE(O3:O27)</f>
        <v>30.588235294117649</v>
      </c>
      <c r="Q29" s="9"/>
      <c r="R29" s="10" t="s">
        <v>33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>
        <f>AVERAGE(AC3:AC27)</f>
        <v>13.4</v>
      </c>
      <c r="AD29" s="8">
        <f>AVERAGE(AD3:AD27)</f>
        <v>31.111111111111111</v>
      </c>
    </row>
    <row r="30" spans="2:33" ht="32.25" thickBot="1" x14ac:dyDescent="0.3">
      <c r="B30" s="9"/>
      <c r="C30" s="10" t="s">
        <v>34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>
        <f>MAX(N3:N27)</f>
        <v>35</v>
      </c>
      <c r="O30" s="8">
        <f>MAX(O3:O27)</f>
        <v>50</v>
      </c>
      <c r="Q30" s="9"/>
      <c r="R30" s="10" t="s">
        <v>34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>
        <f>MAX(AC3:AC27)</f>
        <v>20</v>
      </c>
      <c r="AD30" s="8">
        <f>MAX(AD3:AD27)</f>
        <v>50</v>
      </c>
    </row>
    <row r="31" spans="2:33" ht="16.5" thickBot="1" x14ac:dyDescent="0.3">
      <c r="B31" s="9"/>
      <c r="C31" s="10" t="s">
        <v>35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>
        <f>MIN(N3:N27)</f>
        <v>6</v>
      </c>
      <c r="O31" s="8">
        <f>MIN(O3:O27)</f>
        <v>10</v>
      </c>
      <c r="Q31" s="9"/>
      <c r="R31" s="10" t="s">
        <v>35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>
        <f>MIN(AC3:AC27)</f>
        <v>6</v>
      </c>
      <c r="AD31" s="8">
        <f>MIN(AD3:AD27)</f>
        <v>15</v>
      </c>
    </row>
  </sheetData>
  <mergeCells count="6">
    <mergeCell ref="B1:B2"/>
    <mergeCell ref="C1:C2"/>
    <mergeCell ref="D1:O1"/>
    <mergeCell ref="Q1:Q2"/>
    <mergeCell ref="R1:R2"/>
    <mergeCell ref="S1:A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37E3-2488-41CD-89AB-B3736BCD5BDE}">
  <dimension ref="B1:AD31"/>
  <sheetViews>
    <sheetView topLeftCell="D1" workbookViewId="0">
      <selection activeCell="D1" sqref="D1:O1"/>
    </sheetView>
  </sheetViews>
  <sheetFormatPr defaultRowHeight="15" x14ac:dyDescent="0.25"/>
  <cols>
    <col min="15" max="15" width="13.140625" bestFit="1" customWidth="1"/>
    <col min="30" max="30" width="13.140625" bestFit="1" customWidth="1"/>
  </cols>
  <sheetData>
    <row r="1" spans="2:30" ht="16.5" customHeight="1" thickBot="1" x14ac:dyDescent="0.3">
      <c r="B1" s="1" t="s">
        <v>0</v>
      </c>
      <c r="C1" s="2" t="s">
        <v>1</v>
      </c>
      <c r="D1" s="3" t="s">
        <v>64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Q1" s="1" t="s">
        <v>0</v>
      </c>
      <c r="R1" s="2" t="s">
        <v>1</v>
      </c>
      <c r="S1" s="3" t="s">
        <v>63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2:30" ht="16.5" thickBot="1" x14ac:dyDescent="0.3">
      <c r="B2" s="6"/>
      <c r="C2" s="7"/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 t="s">
        <v>2</v>
      </c>
      <c r="O2" s="8" t="s">
        <v>3</v>
      </c>
      <c r="Q2" s="6"/>
      <c r="R2" s="7"/>
      <c r="S2" s="8">
        <v>1</v>
      </c>
      <c r="T2" s="8">
        <v>2</v>
      </c>
      <c r="U2" s="8">
        <v>3</v>
      </c>
      <c r="V2" s="8">
        <v>4</v>
      </c>
      <c r="W2" s="8">
        <v>5</v>
      </c>
      <c r="X2" s="8">
        <v>6</v>
      </c>
      <c r="Y2" s="8">
        <v>7</v>
      </c>
      <c r="Z2" s="8">
        <v>8</v>
      </c>
      <c r="AA2" s="8">
        <v>9</v>
      </c>
      <c r="AB2" s="8">
        <v>10</v>
      </c>
      <c r="AC2" s="8" t="s">
        <v>2</v>
      </c>
      <c r="AD2" s="8" t="s">
        <v>3</v>
      </c>
    </row>
    <row r="3" spans="2:30" ht="16.5" thickBot="1" x14ac:dyDescent="0.3">
      <c r="B3" s="9">
        <v>1</v>
      </c>
      <c r="C3" s="10" t="s">
        <v>4</v>
      </c>
      <c r="D3" s="8">
        <v>4</v>
      </c>
      <c r="E3" s="8">
        <v>2</v>
      </c>
      <c r="F3" s="8">
        <v>4</v>
      </c>
      <c r="G3" s="8">
        <v>4</v>
      </c>
      <c r="H3" s="8">
        <v>2</v>
      </c>
      <c r="I3" s="8">
        <v>2</v>
      </c>
      <c r="J3" s="8">
        <v>1</v>
      </c>
      <c r="K3" s="8">
        <v>2</v>
      </c>
      <c r="L3" s="8">
        <v>3</v>
      </c>
      <c r="M3" s="8">
        <v>2</v>
      </c>
      <c r="N3" s="8">
        <f>SUM(D3:M3)</f>
        <v>26</v>
      </c>
      <c r="O3" s="8">
        <v>90</v>
      </c>
      <c r="Q3" s="9">
        <v>1</v>
      </c>
      <c r="R3" s="10" t="s">
        <v>4</v>
      </c>
      <c r="S3" s="8">
        <v>4</v>
      </c>
      <c r="T3" s="8">
        <v>2</v>
      </c>
      <c r="U3" s="8">
        <v>4</v>
      </c>
      <c r="V3" s="8">
        <v>4</v>
      </c>
      <c r="W3" s="8">
        <v>4</v>
      </c>
      <c r="X3" s="8">
        <v>2</v>
      </c>
      <c r="Y3" s="8">
        <v>1</v>
      </c>
      <c r="Z3" s="8">
        <v>4</v>
      </c>
      <c r="AA3" s="8">
        <v>2</v>
      </c>
      <c r="AB3" s="8">
        <v>4</v>
      </c>
      <c r="AC3" s="8">
        <f>SUM(S3:AB3)</f>
        <v>31</v>
      </c>
      <c r="AD3" s="8" t="s">
        <v>24</v>
      </c>
    </row>
    <row r="4" spans="2:30" ht="16.5" thickBot="1" x14ac:dyDescent="0.3">
      <c r="B4" s="9">
        <v>2</v>
      </c>
      <c r="C4" s="10" t="s">
        <v>5</v>
      </c>
      <c r="D4" s="8">
        <v>4</v>
      </c>
      <c r="E4" s="8">
        <v>2</v>
      </c>
      <c r="F4" s="8">
        <v>4</v>
      </c>
      <c r="G4" s="8">
        <v>4</v>
      </c>
      <c r="H4" s="8">
        <v>4</v>
      </c>
      <c r="I4" s="8">
        <v>4</v>
      </c>
      <c r="J4" s="8">
        <v>3</v>
      </c>
      <c r="K4" s="8">
        <v>3</v>
      </c>
      <c r="L4" s="8">
        <v>2</v>
      </c>
      <c r="M4" s="8">
        <v>1</v>
      </c>
      <c r="N4" s="8">
        <f t="shared" ref="N4:N27" si="0">SUM(D4:M4)</f>
        <v>31</v>
      </c>
      <c r="O4" s="8" t="s">
        <v>24</v>
      </c>
      <c r="Q4" s="9">
        <v>2</v>
      </c>
      <c r="R4" s="10" t="s">
        <v>5</v>
      </c>
      <c r="S4" s="8">
        <v>4</v>
      </c>
      <c r="T4" s="8">
        <v>2</v>
      </c>
      <c r="U4" s="8">
        <v>4</v>
      </c>
      <c r="V4" s="8">
        <v>4</v>
      </c>
      <c r="W4" s="8">
        <v>4</v>
      </c>
      <c r="X4" s="8">
        <v>4</v>
      </c>
      <c r="Y4" s="8">
        <v>3</v>
      </c>
      <c r="Z4" s="8">
        <v>3</v>
      </c>
      <c r="AA4" s="8">
        <v>3</v>
      </c>
      <c r="AB4" s="8">
        <v>1</v>
      </c>
      <c r="AC4" s="8">
        <f t="shared" ref="AC4:AC27" si="1">SUM(S4:AB4)</f>
        <v>32</v>
      </c>
      <c r="AD4" s="8">
        <v>80</v>
      </c>
    </row>
    <row r="5" spans="2:30" ht="16.5" thickBot="1" x14ac:dyDescent="0.3">
      <c r="B5" s="9">
        <v>3</v>
      </c>
      <c r="C5" s="10" t="s">
        <v>6</v>
      </c>
      <c r="D5" s="11">
        <v>4</v>
      </c>
      <c r="E5" s="11">
        <v>2</v>
      </c>
      <c r="F5" s="11">
        <v>3</v>
      </c>
      <c r="G5" s="11">
        <v>4</v>
      </c>
      <c r="H5" s="11">
        <v>4</v>
      </c>
      <c r="I5" s="11">
        <v>4</v>
      </c>
      <c r="J5" s="11">
        <v>2</v>
      </c>
      <c r="K5" s="11">
        <v>1</v>
      </c>
      <c r="L5" s="11">
        <v>2</v>
      </c>
      <c r="M5" s="11">
        <v>2</v>
      </c>
      <c r="N5" s="8">
        <f t="shared" si="0"/>
        <v>28</v>
      </c>
      <c r="O5" s="8">
        <v>70</v>
      </c>
      <c r="Q5" s="9">
        <v>3</v>
      </c>
      <c r="R5" s="10" t="s">
        <v>6</v>
      </c>
      <c r="S5" s="11">
        <v>4</v>
      </c>
      <c r="T5" s="11">
        <v>2</v>
      </c>
      <c r="U5" s="11">
        <v>3</v>
      </c>
      <c r="V5" s="11">
        <v>4</v>
      </c>
      <c r="W5" s="11">
        <v>4</v>
      </c>
      <c r="X5" s="11">
        <v>4</v>
      </c>
      <c r="Y5" s="11">
        <v>2</v>
      </c>
      <c r="Z5" s="11">
        <v>4</v>
      </c>
      <c r="AA5" s="11">
        <v>2</v>
      </c>
      <c r="AB5" s="11">
        <v>1</v>
      </c>
      <c r="AC5" s="8">
        <f t="shared" si="1"/>
        <v>30</v>
      </c>
      <c r="AD5" s="8">
        <v>75</v>
      </c>
    </row>
    <row r="6" spans="2:30" ht="16.5" thickBot="1" x14ac:dyDescent="0.3">
      <c r="B6" s="9">
        <v>4</v>
      </c>
      <c r="C6" s="10" t="s">
        <v>7</v>
      </c>
      <c r="D6" s="12">
        <v>4</v>
      </c>
      <c r="E6" s="13">
        <v>2</v>
      </c>
      <c r="F6" s="12">
        <v>3</v>
      </c>
      <c r="G6" s="13">
        <v>4</v>
      </c>
      <c r="H6" s="12">
        <v>4</v>
      </c>
      <c r="I6" s="13">
        <v>4</v>
      </c>
      <c r="J6" s="14">
        <v>4</v>
      </c>
      <c r="K6" s="12">
        <v>4</v>
      </c>
      <c r="L6" s="12">
        <v>1</v>
      </c>
      <c r="M6" s="12">
        <v>1</v>
      </c>
      <c r="N6" s="8">
        <f t="shared" si="0"/>
        <v>31</v>
      </c>
      <c r="O6" s="8" t="s">
        <v>24</v>
      </c>
      <c r="Q6" s="9">
        <v>4</v>
      </c>
      <c r="R6" s="10" t="s">
        <v>7</v>
      </c>
      <c r="S6" s="12">
        <v>4</v>
      </c>
      <c r="T6" s="13">
        <v>3</v>
      </c>
      <c r="U6" s="12">
        <v>3</v>
      </c>
      <c r="V6" s="13">
        <v>4</v>
      </c>
      <c r="W6" s="12">
        <v>4</v>
      </c>
      <c r="X6" s="13">
        <v>4</v>
      </c>
      <c r="Y6" s="14">
        <v>4</v>
      </c>
      <c r="Z6" s="12">
        <v>4</v>
      </c>
      <c r="AA6" s="12">
        <v>4</v>
      </c>
      <c r="AB6" s="12">
        <v>4</v>
      </c>
      <c r="AC6" s="8">
        <f t="shared" si="1"/>
        <v>38</v>
      </c>
      <c r="AD6" s="8">
        <v>95</v>
      </c>
    </row>
    <row r="7" spans="2:30" ht="16.5" thickBot="1" x14ac:dyDescent="0.3">
      <c r="B7" s="9">
        <v>5</v>
      </c>
      <c r="C7" s="10" t="s">
        <v>8</v>
      </c>
      <c r="D7" s="8">
        <v>4</v>
      </c>
      <c r="E7" s="8">
        <v>4</v>
      </c>
      <c r="F7" s="8">
        <v>3</v>
      </c>
      <c r="G7" s="8">
        <v>3</v>
      </c>
      <c r="H7" s="8">
        <v>4</v>
      </c>
      <c r="I7" s="8">
        <v>4</v>
      </c>
      <c r="J7" s="8">
        <v>3</v>
      </c>
      <c r="K7" s="8">
        <v>3</v>
      </c>
      <c r="L7" s="8">
        <v>2</v>
      </c>
      <c r="M7" s="8">
        <v>2</v>
      </c>
      <c r="N7" s="8">
        <f t="shared" si="0"/>
        <v>32</v>
      </c>
      <c r="O7" s="8">
        <v>80</v>
      </c>
      <c r="Q7" s="9">
        <v>5</v>
      </c>
      <c r="R7" s="10" t="s">
        <v>8</v>
      </c>
      <c r="S7" s="8">
        <v>4</v>
      </c>
      <c r="T7" s="8">
        <v>4</v>
      </c>
      <c r="U7" s="8">
        <v>3</v>
      </c>
      <c r="V7" s="8">
        <v>3</v>
      </c>
      <c r="W7" s="8">
        <v>4</v>
      </c>
      <c r="X7" s="8">
        <v>4</v>
      </c>
      <c r="Y7" s="8">
        <v>3</v>
      </c>
      <c r="Z7" s="8">
        <v>3</v>
      </c>
      <c r="AA7" s="8">
        <v>2</v>
      </c>
      <c r="AB7" s="8">
        <v>3</v>
      </c>
      <c r="AC7" s="8">
        <f t="shared" si="1"/>
        <v>33</v>
      </c>
      <c r="AD7" s="8" t="s">
        <v>72</v>
      </c>
    </row>
    <row r="8" spans="2:30" ht="16.5" thickBot="1" x14ac:dyDescent="0.3">
      <c r="B8" s="9">
        <v>6</v>
      </c>
      <c r="C8" s="10" t="s">
        <v>9</v>
      </c>
      <c r="D8" s="8">
        <v>4</v>
      </c>
      <c r="E8" s="8">
        <v>1</v>
      </c>
      <c r="F8" s="8">
        <v>4</v>
      </c>
      <c r="G8" s="8">
        <v>4</v>
      </c>
      <c r="H8" s="8">
        <v>4</v>
      </c>
      <c r="I8" s="8">
        <v>1</v>
      </c>
      <c r="J8" s="8">
        <v>4</v>
      </c>
      <c r="K8" s="8">
        <v>4</v>
      </c>
      <c r="L8" s="8">
        <v>4</v>
      </c>
      <c r="M8" s="8">
        <v>4</v>
      </c>
      <c r="N8" s="8">
        <f t="shared" si="0"/>
        <v>34</v>
      </c>
      <c r="O8" s="8">
        <v>85</v>
      </c>
      <c r="Q8" s="9">
        <v>6</v>
      </c>
      <c r="R8" s="10" t="s">
        <v>9</v>
      </c>
      <c r="S8" s="8">
        <v>4</v>
      </c>
      <c r="T8" s="8">
        <v>3</v>
      </c>
      <c r="U8" s="8">
        <v>4</v>
      </c>
      <c r="V8" s="8">
        <v>3</v>
      </c>
      <c r="W8" s="8">
        <v>4</v>
      </c>
      <c r="X8" s="8">
        <v>4</v>
      </c>
      <c r="Y8" s="8">
        <v>4</v>
      </c>
      <c r="Z8" s="8">
        <v>2</v>
      </c>
      <c r="AA8" s="8">
        <v>4</v>
      </c>
      <c r="AB8" s="8">
        <v>4</v>
      </c>
      <c r="AC8" s="8">
        <f t="shared" si="1"/>
        <v>36</v>
      </c>
      <c r="AD8" s="8">
        <v>90</v>
      </c>
    </row>
    <row r="9" spans="2:30" ht="16.5" thickBot="1" x14ac:dyDescent="0.3">
      <c r="B9" s="9">
        <v>7</v>
      </c>
      <c r="C9" s="10" t="s">
        <v>10</v>
      </c>
      <c r="D9" s="8">
        <v>4</v>
      </c>
      <c r="E9" s="8">
        <v>3</v>
      </c>
      <c r="F9" s="8">
        <v>4</v>
      </c>
      <c r="G9" s="8">
        <v>4</v>
      </c>
      <c r="H9" s="8">
        <v>3</v>
      </c>
      <c r="I9" s="8">
        <v>1</v>
      </c>
      <c r="J9" s="8">
        <v>2</v>
      </c>
      <c r="K9" s="8">
        <v>2</v>
      </c>
      <c r="L9" s="8">
        <v>2</v>
      </c>
      <c r="M9" s="8">
        <v>3</v>
      </c>
      <c r="N9" s="8">
        <f t="shared" si="0"/>
        <v>28</v>
      </c>
      <c r="O9" s="8">
        <v>70</v>
      </c>
      <c r="Q9" s="9">
        <v>7</v>
      </c>
      <c r="R9" s="10" t="s">
        <v>10</v>
      </c>
      <c r="S9" s="8">
        <v>4</v>
      </c>
      <c r="T9" s="8">
        <v>3</v>
      </c>
      <c r="U9" s="8">
        <v>4</v>
      </c>
      <c r="V9" s="8">
        <v>4</v>
      </c>
      <c r="W9" s="8">
        <v>4</v>
      </c>
      <c r="X9" s="8">
        <v>4</v>
      </c>
      <c r="Y9" s="8">
        <v>3</v>
      </c>
      <c r="Z9" s="8">
        <v>1</v>
      </c>
      <c r="AA9" s="8">
        <v>2</v>
      </c>
      <c r="AB9" s="8">
        <v>1</v>
      </c>
      <c r="AC9" s="8">
        <f t="shared" si="1"/>
        <v>30</v>
      </c>
      <c r="AD9" s="8">
        <v>75</v>
      </c>
    </row>
    <row r="10" spans="2:30" ht="16.5" thickBot="1" x14ac:dyDescent="0.3">
      <c r="B10" s="9">
        <v>8</v>
      </c>
      <c r="C10" s="10" t="s">
        <v>11</v>
      </c>
      <c r="D10" s="8">
        <v>4</v>
      </c>
      <c r="E10" s="8">
        <v>2</v>
      </c>
      <c r="F10" s="8">
        <v>4</v>
      </c>
      <c r="G10" s="8">
        <v>4</v>
      </c>
      <c r="H10" s="8">
        <v>4</v>
      </c>
      <c r="I10" s="8">
        <v>4</v>
      </c>
      <c r="J10" s="8">
        <v>3</v>
      </c>
      <c r="K10" s="8">
        <v>3</v>
      </c>
      <c r="L10" s="8">
        <v>1</v>
      </c>
      <c r="M10" s="8">
        <v>1</v>
      </c>
      <c r="N10" s="8">
        <f t="shared" si="0"/>
        <v>30</v>
      </c>
      <c r="O10" s="8">
        <v>75</v>
      </c>
      <c r="Q10" s="9">
        <v>8</v>
      </c>
      <c r="R10" s="10" t="s">
        <v>11</v>
      </c>
      <c r="S10" s="8">
        <v>4</v>
      </c>
      <c r="T10" s="8">
        <v>2</v>
      </c>
      <c r="U10" s="8">
        <v>4</v>
      </c>
      <c r="V10" s="8">
        <v>4</v>
      </c>
      <c r="W10" s="8">
        <v>4</v>
      </c>
      <c r="X10" s="8">
        <v>4</v>
      </c>
      <c r="Y10" s="8">
        <v>3</v>
      </c>
      <c r="Z10" s="8">
        <v>3</v>
      </c>
      <c r="AA10" s="8">
        <v>2</v>
      </c>
      <c r="AB10" s="8">
        <v>1</v>
      </c>
      <c r="AC10" s="8">
        <f t="shared" si="1"/>
        <v>31</v>
      </c>
      <c r="AD10" s="8" t="s">
        <v>24</v>
      </c>
    </row>
    <row r="11" spans="2:30" ht="16.5" thickBot="1" x14ac:dyDescent="0.3">
      <c r="B11" s="9">
        <v>9</v>
      </c>
      <c r="C11" s="10" t="s">
        <v>12</v>
      </c>
      <c r="D11" s="8">
        <v>1</v>
      </c>
      <c r="E11" s="8">
        <v>1</v>
      </c>
      <c r="F11" s="8">
        <v>2</v>
      </c>
      <c r="G11" s="8">
        <v>4</v>
      </c>
      <c r="H11" s="8">
        <v>4</v>
      </c>
      <c r="I11" s="8">
        <v>4</v>
      </c>
      <c r="J11" s="8">
        <v>4</v>
      </c>
      <c r="K11" s="8">
        <v>4</v>
      </c>
      <c r="L11" s="8">
        <v>4</v>
      </c>
      <c r="M11" s="8">
        <v>4</v>
      </c>
      <c r="N11" s="8">
        <f t="shared" si="0"/>
        <v>32</v>
      </c>
      <c r="O11" s="8">
        <v>80</v>
      </c>
      <c r="Q11" s="9">
        <v>9</v>
      </c>
      <c r="R11" s="10" t="s">
        <v>12</v>
      </c>
      <c r="S11" s="8">
        <v>1</v>
      </c>
      <c r="T11" s="8">
        <v>1</v>
      </c>
      <c r="U11" s="8">
        <v>2</v>
      </c>
      <c r="V11" s="8">
        <v>3</v>
      </c>
      <c r="W11" s="8">
        <v>3</v>
      </c>
      <c r="X11" s="8">
        <v>3</v>
      </c>
      <c r="Y11" s="8">
        <v>1</v>
      </c>
      <c r="Z11" s="8">
        <v>2</v>
      </c>
      <c r="AA11" s="8">
        <v>2</v>
      </c>
      <c r="AB11" s="8">
        <v>2</v>
      </c>
      <c r="AC11" s="8">
        <f t="shared" si="1"/>
        <v>20</v>
      </c>
      <c r="AD11" s="8">
        <v>50</v>
      </c>
    </row>
    <row r="12" spans="2:30" ht="16.5" thickBot="1" x14ac:dyDescent="0.3">
      <c r="B12" s="9">
        <v>10</v>
      </c>
      <c r="C12" s="10" t="s">
        <v>13</v>
      </c>
      <c r="D12" s="8">
        <v>4</v>
      </c>
      <c r="E12" s="8">
        <v>1</v>
      </c>
      <c r="F12" s="8">
        <v>1</v>
      </c>
      <c r="G12" s="8">
        <v>3</v>
      </c>
      <c r="H12" s="8">
        <v>4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8">
        <f t="shared" si="0"/>
        <v>33</v>
      </c>
      <c r="O12" s="8" t="s">
        <v>72</v>
      </c>
      <c r="Q12" s="9">
        <v>10</v>
      </c>
      <c r="R12" s="10" t="s">
        <v>13</v>
      </c>
      <c r="S12" s="8">
        <v>4</v>
      </c>
      <c r="T12" s="8">
        <v>1</v>
      </c>
      <c r="U12" s="8">
        <v>1</v>
      </c>
      <c r="V12" s="8">
        <v>1</v>
      </c>
      <c r="W12" s="8">
        <v>4</v>
      </c>
      <c r="X12" s="8">
        <v>4</v>
      </c>
      <c r="Y12" s="8">
        <v>3</v>
      </c>
      <c r="Z12" s="8">
        <v>1</v>
      </c>
      <c r="AA12" s="8">
        <v>2</v>
      </c>
      <c r="AB12" s="8">
        <v>1</v>
      </c>
      <c r="AC12" s="8">
        <f t="shared" si="1"/>
        <v>22</v>
      </c>
      <c r="AD12" s="8">
        <v>55</v>
      </c>
    </row>
    <row r="13" spans="2:30" ht="16.5" thickBot="1" x14ac:dyDescent="0.3">
      <c r="B13" s="9">
        <v>11</v>
      </c>
      <c r="C13" s="10" t="s">
        <v>15</v>
      </c>
      <c r="D13" s="8">
        <v>4</v>
      </c>
      <c r="E13" s="8">
        <v>4</v>
      </c>
      <c r="F13" s="8">
        <v>1</v>
      </c>
      <c r="G13" s="8">
        <v>3</v>
      </c>
      <c r="H13" s="8">
        <v>4</v>
      </c>
      <c r="I13" s="8">
        <v>4</v>
      </c>
      <c r="J13" s="8">
        <v>4</v>
      </c>
      <c r="K13" s="8">
        <v>4</v>
      </c>
      <c r="L13" s="8">
        <v>4</v>
      </c>
      <c r="M13" s="8">
        <v>4</v>
      </c>
      <c r="N13" s="8">
        <f t="shared" si="0"/>
        <v>36</v>
      </c>
      <c r="O13" s="8">
        <v>90</v>
      </c>
      <c r="Q13" s="9">
        <v>11</v>
      </c>
      <c r="R13" s="10" t="s">
        <v>15</v>
      </c>
      <c r="S13" s="8">
        <v>4</v>
      </c>
      <c r="T13" s="8">
        <v>4</v>
      </c>
      <c r="U13" s="8">
        <v>2</v>
      </c>
      <c r="V13" s="8">
        <v>2</v>
      </c>
      <c r="W13" s="8">
        <v>1</v>
      </c>
      <c r="X13" s="8">
        <v>1</v>
      </c>
      <c r="Y13" s="8">
        <v>1</v>
      </c>
      <c r="Z13" s="8">
        <v>1</v>
      </c>
      <c r="AA13" s="8">
        <v>3</v>
      </c>
      <c r="AB13" s="8">
        <v>1</v>
      </c>
      <c r="AC13" s="8">
        <f t="shared" si="1"/>
        <v>20</v>
      </c>
      <c r="AD13" s="8">
        <v>50</v>
      </c>
    </row>
    <row r="14" spans="2:30" ht="16.5" thickBot="1" x14ac:dyDescent="0.3">
      <c r="B14" s="9">
        <v>12</v>
      </c>
      <c r="C14" s="10" t="s">
        <v>16</v>
      </c>
      <c r="D14" s="8">
        <v>4</v>
      </c>
      <c r="E14" s="8">
        <v>4</v>
      </c>
      <c r="F14" s="8">
        <v>1</v>
      </c>
      <c r="G14" s="8">
        <v>3</v>
      </c>
      <c r="H14" s="8">
        <v>1</v>
      </c>
      <c r="I14" s="8">
        <v>3</v>
      </c>
      <c r="J14" s="8">
        <v>4</v>
      </c>
      <c r="K14" s="8">
        <v>4</v>
      </c>
      <c r="L14" s="8">
        <v>4</v>
      </c>
      <c r="M14" s="8">
        <v>4</v>
      </c>
      <c r="N14" s="8">
        <f t="shared" si="0"/>
        <v>32</v>
      </c>
      <c r="O14" s="8">
        <v>80</v>
      </c>
      <c r="Q14" s="9">
        <v>12</v>
      </c>
      <c r="R14" s="10" t="s">
        <v>16</v>
      </c>
      <c r="S14" s="8">
        <v>4</v>
      </c>
      <c r="T14" s="8">
        <v>4</v>
      </c>
      <c r="U14" s="8">
        <v>1</v>
      </c>
      <c r="V14" s="8">
        <v>3</v>
      </c>
      <c r="W14" s="8">
        <v>1</v>
      </c>
      <c r="X14" s="8">
        <v>3</v>
      </c>
      <c r="Y14" s="8">
        <v>1</v>
      </c>
      <c r="Z14" s="8">
        <v>3</v>
      </c>
      <c r="AA14" s="8">
        <v>4</v>
      </c>
      <c r="AB14" s="8">
        <v>4</v>
      </c>
      <c r="AC14" s="8">
        <f t="shared" si="1"/>
        <v>28</v>
      </c>
      <c r="AD14" s="8">
        <v>70</v>
      </c>
    </row>
    <row r="15" spans="2:30" ht="16.5" thickBot="1" x14ac:dyDescent="0.3">
      <c r="B15" s="9">
        <v>13</v>
      </c>
      <c r="C15" s="10" t="s">
        <v>17</v>
      </c>
      <c r="D15" s="8">
        <v>4</v>
      </c>
      <c r="E15" s="8">
        <v>4</v>
      </c>
      <c r="F15" s="8">
        <v>1</v>
      </c>
      <c r="G15" s="8">
        <v>4</v>
      </c>
      <c r="H15" s="8">
        <v>4</v>
      </c>
      <c r="I15" s="8">
        <v>3</v>
      </c>
      <c r="J15" s="8">
        <v>4</v>
      </c>
      <c r="K15" s="8">
        <v>4</v>
      </c>
      <c r="L15" s="8">
        <v>4</v>
      </c>
      <c r="M15" s="8">
        <v>4</v>
      </c>
      <c r="N15" s="8">
        <f t="shared" si="0"/>
        <v>36</v>
      </c>
      <c r="O15" s="8">
        <v>90</v>
      </c>
      <c r="Q15" s="9">
        <v>13</v>
      </c>
      <c r="R15" s="10" t="s">
        <v>17</v>
      </c>
      <c r="S15" s="8">
        <v>4</v>
      </c>
      <c r="T15" s="8">
        <v>4</v>
      </c>
      <c r="U15" s="8">
        <v>1</v>
      </c>
      <c r="V15" s="8">
        <v>2</v>
      </c>
      <c r="W15" s="8">
        <v>4</v>
      </c>
      <c r="X15" s="8">
        <v>2</v>
      </c>
      <c r="Y15" s="8">
        <v>1</v>
      </c>
      <c r="Z15" s="8">
        <v>4</v>
      </c>
      <c r="AA15" s="8">
        <v>3</v>
      </c>
      <c r="AB15" s="8">
        <v>3</v>
      </c>
      <c r="AC15" s="8">
        <f t="shared" si="1"/>
        <v>28</v>
      </c>
      <c r="AD15" s="8">
        <v>70</v>
      </c>
    </row>
    <row r="16" spans="2:30" ht="16.5" thickBot="1" x14ac:dyDescent="0.3">
      <c r="B16" s="9">
        <v>14</v>
      </c>
      <c r="C16" s="10" t="s">
        <v>19</v>
      </c>
      <c r="D16" s="8">
        <v>1</v>
      </c>
      <c r="E16" s="8">
        <v>4</v>
      </c>
      <c r="F16" s="8">
        <v>4</v>
      </c>
      <c r="G16" s="8">
        <v>4</v>
      </c>
      <c r="H16" s="8">
        <v>4</v>
      </c>
      <c r="I16" s="8">
        <v>4</v>
      </c>
      <c r="J16" s="8">
        <v>3</v>
      </c>
      <c r="K16" s="8">
        <v>4</v>
      </c>
      <c r="L16" s="8">
        <v>4</v>
      </c>
      <c r="M16" s="8">
        <v>4</v>
      </c>
      <c r="N16" s="8">
        <f t="shared" si="0"/>
        <v>36</v>
      </c>
      <c r="O16" s="8">
        <v>90</v>
      </c>
      <c r="Q16" s="9">
        <v>14</v>
      </c>
      <c r="R16" s="10" t="s">
        <v>19</v>
      </c>
      <c r="S16" s="8">
        <v>1</v>
      </c>
      <c r="T16" s="8">
        <v>2</v>
      </c>
      <c r="U16" s="8">
        <v>2</v>
      </c>
      <c r="V16" s="8">
        <v>1</v>
      </c>
      <c r="W16" s="8">
        <v>2</v>
      </c>
      <c r="X16" s="8">
        <v>3</v>
      </c>
      <c r="Y16" s="8">
        <v>3</v>
      </c>
      <c r="Z16" s="8">
        <v>3</v>
      </c>
      <c r="AA16" s="8">
        <v>2</v>
      </c>
      <c r="AB16" s="8">
        <v>1</v>
      </c>
      <c r="AC16" s="8">
        <f t="shared" si="1"/>
        <v>20</v>
      </c>
      <c r="AD16" s="8">
        <v>55</v>
      </c>
    </row>
    <row r="17" spans="2:30" ht="16.5" thickBot="1" x14ac:dyDescent="0.3">
      <c r="B17" s="9">
        <v>15</v>
      </c>
      <c r="C17" s="10" t="s">
        <v>20</v>
      </c>
      <c r="D17" s="8">
        <v>2</v>
      </c>
      <c r="E17" s="8">
        <v>4</v>
      </c>
      <c r="F17" s="8">
        <v>4</v>
      </c>
      <c r="G17" s="8">
        <v>4</v>
      </c>
      <c r="H17" s="8">
        <v>4</v>
      </c>
      <c r="I17" s="8">
        <v>4</v>
      </c>
      <c r="J17" s="8">
        <v>4</v>
      </c>
      <c r="K17" s="8">
        <v>4</v>
      </c>
      <c r="L17" s="8">
        <v>4</v>
      </c>
      <c r="M17" s="8">
        <v>4</v>
      </c>
      <c r="N17" s="8">
        <f t="shared" si="0"/>
        <v>38</v>
      </c>
      <c r="O17" s="8">
        <v>95</v>
      </c>
      <c r="Q17" s="9">
        <v>15</v>
      </c>
      <c r="R17" s="10" t="s">
        <v>20</v>
      </c>
      <c r="S17" s="8">
        <v>1</v>
      </c>
      <c r="T17" s="8">
        <v>1</v>
      </c>
      <c r="U17" s="8">
        <v>1</v>
      </c>
      <c r="V17" s="8">
        <v>3</v>
      </c>
      <c r="W17" s="8">
        <v>2</v>
      </c>
      <c r="X17" s="8">
        <v>2</v>
      </c>
      <c r="Y17" s="8">
        <v>3</v>
      </c>
      <c r="Z17" s="8">
        <v>2</v>
      </c>
      <c r="AA17" s="8">
        <v>2</v>
      </c>
      <c r="AB17" s="8">
        <v>3</v>
      </c>
      <c r="AC17" s="8">
        <f t="shared" si="1"/>
        <v>20</v>
      </c>
      <c r="AD17" s="8">
        <v>50</v>
      </c>
    </row>
    <row r="18" spans="2:30" ht="16.5" thickBot="1" x14ac:dyDescent="0.3">
      <c r="B18" s="9">
        <v>16</v>
      </c>
      <c r="C18" s="10" t="s">
        <v>21</v>
      </c>
      <c r="D18" s="8">
        <v>4</v>
      </c>
      <c r="E18" s="8">
        <v>1</v>
      </c>
      <c r="F18" s="8">
        <v>1</v>
      </c>
      <c r="G18" s="8">
        <v>2</v>
      </c>
      <c r="H18" s="8">
        <v>4</v>
      </c>
      <c r="I18" s="8">
        <v>3</v>
      </c>
      <c r="J18" s="8">
        <v>4</v>
      </c>
      <c r="K18" s="8">
        <v>4</v>
      </c>
      <c r="L18" s="8">
        <v>4</v>
      </c>
      <c r="M18" s="8">
        <v>1</v>
      </c>
      <c r="N18" s="8">
        <f t="shared" si="0"/>
        <v>28</v>
      </c>
      <c r="O18" s="8">
        <v>70</v>
      </c>
      <c r="Q18" s="9">
        <v>16</v>
      </c>
      <c r="R18" s="10" t="s">
        <v>21</v>
      </c>
      <c r="S18" s="8">
        <v>4</v>
      </c>
      <c r="T18" s="8">
        <v>1</v>
      </c>
      <c r="U18" s="8">
        <v>1</v>
      </c>
      <c r="V18" s="8">
        <v>2</v>
      </c>
      <c r="W18" s="8">
        <v>4</v>
      </c>
      <c r="X18" s="8">
        <v>2</v>
      </c>
      <c r="Y18" s="8">
        <v>2</v>
      </c>
      <c r="Z18" s="8">
        <v>3</v>
      </c>
      <c r="AA18" s="8">
        <v>3</v>
      </c>
      <c r="AB18" s="8">
        <v>2</v>
      </c>
      <c r="AC18" s="8">
        <f t="shared" si="1"/>
        <v>24</v>
      </c>
      <c r="AD18" s="8">
        <v>60</v>
      </c>
    </row>
    <row r="19" spans="2:30" ht="16.5" thickBot="1" x14ac:dyDescent="0.3">
      <c r="B19" s="9">
        <v>17</v>
      </c>
      <c r="C19" s="10" t="s">
        <v>22</v>
      </c>
      <c r="D19" s="8">
        <v>1</v>
      </c>
      <c r="E19" s="8">
        <v>2</v>
      </c>
      <c r="F19" s="8">
        <v>2</v>
      </c>
      <c r="G19" s="8">
        <v>3</v>
      </c>
      <c r="H19" s="8">
        <v>3</v>
      </c>
      <c r="I19" s="8">
        <v>4</v>
      </c>
      <c r="J19" s="8">
        <v>4</v>
      </c>
      <c r="K19" s="8">
        <v>4</v>
      </c>
      <c r="L19" s="8">
        <v>4</v>
      </c>
      <c r="M19" s="8">
        <v>3</v>
      </c>
      <c r="N19" s="8">
        <f t="shared" si="0"/>
        <v>30</v>
      </c>
      <c r="O19" s="8">
        <v>75</v>
      </c>
      <c r="Q19" s="9">
        <v>17</v>
      </c>
      <c r="R19" s="10" t="s">
        <v>22</v>
      </c>
      <c r="S19" s="8">
        <v>1</v>
      </c>
      <c r="T19" s="8">
        <v>2</v>
      </c>
      <c r="U19" s="8">
        <v>2</v>
      </c>
      <c r="V19" s="8">
        <v>3</v>
      </c>
      <c r="W19" s="8">
        <v>3</v>
      </c>
      <c r="X19" s="8">
        <v>4</v>
      </c>
      <c r="Y19" s="8">
        <v>4</v>
      </c>
      <c r="Z19" s="8">
        <v>3</v>
      </c>
      <c r="AA19" s="8">
        <v>3</v>
      </c>
      <c r="AB19" s="8">
        <v>3</v>
      </c>
      <c r="AC19" s="8">
        <f t="shared" si="1"/>
        <v>28</v>
      </c>
      <c r="AD19" s="8">
        <v>70</v>
      </c>
    </row>
    <row r="20" spans="2:30" ht="16.5" thickBot="1" x14ac:dyDescent="0.3">
      <c r="B20" s="9">
        <v>18</v>
      </c>
      <c r="C20" s="10" t="s">
        <v>23</v>
      </c>
      <c r="D20" s="8">
        <v>3</v>
      </c>
      <c r="E20" s="8">
        <v>3</v>
      </c>
      <c r="F20" s="8">
        <v>4</v>
      </c>
      <c r="G20" s="8">
        <v>3</v>
      </c>
      <c r="H20" s="8">
        <v>3</v>
      </c>
      <c r="I20" s="8">
        <v>4</v>
      </c>
      <c r="J20" s="8">
        <v>1</v>
      </c>
      <c r="K20" s="8">
        <v>1</v>
      </c>
      <c r="L20" s="8">
        <v>1</v>
      </c>
      <c r="M20" s="8">
        <v>1</v>
      </c>
      <c r="N20" s="8">
        <f t="shared" si="0"/>
        <v>24</v>
      </c>
      <c r="O20" s="8">
        <v>60</v>
      </c>
      <c r="Q20" s="9">
        <v>18</v>
      </c>
      <c r="R20" s="10" t="s">
        <v>23</v>
      </c>
      <c r="S20" s="8">
        <v>3</v>
      </c>
      <c r="T20" s="8">
        <v>3</v>
      </c>
      <c r="U20" s="8">
        <v>2</v>
      </c>
      <c r="V20" s="8">
        <v>3</v>
      </c>
      <c r="W20" s="8">
        <v>3</v>
      </c>
      <c r="X20" s="8">
        <v>3</v>
      </c>
      <c r="Y20" s="8">
        <v>3</v>
      </c>
      <c r="Z20" s="8">
        <v>3</v>
      </c>
      <c r="AA20" s="8">
        <v>2</v>
      </c>
      <c r="AB20" s="8">
        <v>2</v>
      </c>
      <c r="AC20" s="8">
        <f t="shared" si="1"/>
        <v>27</v>
      </c>
      <c r="AD20" s="8" t="s">
        <v>14</v>
      </c>
    </row>
    <row r="21" spans="2:30" ht="16.5" thickBot="1" x14ac:dyDescent="0.3">
      <c r="B21" s="9">
        <v>19</v>
      </c>
      <c r="C21" s="10" t="s">
        <v>25</v>
      </c>
      <c r="D21" s="8">
        <v>4</v>
      </c>
      <c r="E21" s="8">
        <v>4</v>
      </c>
      <c r="F21" s="8">
        <v>1</v>
      </c>
      <c r="G21" s="8">
        <v>2</v>
      </c>
      <c r="H21" s="8">
        <v>4</v>
      </c>
      <c r="I21" s="8">
        <v>2</v>
      </c>
      <c r="J21" s="8">
        <v>1</v>
      </c>
      <c r="K21" s="8">
        <v>4</v>
      </c>
      <c r="L21" s="8">
        <v>4</v>
      </c>
      <c r="M21" s="8">
        <v>2</v>
      </c>
      <c r="N21" s="8">
        <f t="shared" si="0"/>
        <v>28</v>
      </c>
      <c r="O21" s="8">
        <v>70</v>
      </c>
      <c r="Q21" s="9">
        <v>19</v>
      </c>
      <c r="R21" s="10" t="s">
        <v>25</v>
      </c>
      <c r="S21" s="8">
        <v>4</v>
      </c>
      <c r="T21" s="8">
        <v>4</v>
      </c>
      <c r="U21" s="8">
        <v>1</v>
      </c>
      <c r="V21" s="8">
        <v>2</v>
      </c>
      <c r="W21" s="8">
        <v>4</v>
      </c>
      <c r="X21" s="8">
        <v>2</v>
      </c>
      <c r="Y21" s="8">
        <v>3</v>
      </c>
      <c r="Z21" s="8">
        <v>4</v>
      </c>
      <c r="AA21" s="8">
        <v>4</v>
      </c>
      <c r="AB21" s="8">
        <v>4</v>
      </c>
      <c r="AC21" s="8">
        <f t="shared" si="1"/>
        <v>32</v>
      </c>
      <c r="AD21" s="8">
        <v>80</v>
      </c>
    </row>
    <row r="22" spans="2:30" ht="16.5" thickBot="1" x14ac:dyDescent="0.3">
      <c r="B22" s="9">
        <v>20</v>
      </c>
      <c r="C22" s="10" t="s">
        <v>26</v>
      </c>
      <c r="D22" s="8">
        <v>4</v>
      </c>
      <c r="E22" s="8">
        <v>4</v>
      </c>
      <c r="F22" s="8">
        <v>1</v>
      </c>
      <c r="G22" s="8">
        <v>3</v>
      </c>
      <c r="H22" s="8">
        <v>1</v>
      </c>
      <c r="I22" s="8">
        <v>3</v>
      </c>
      <c r="J22" s="8">
        <v>4</v>
      </c>
      <c r="K22" s="8">
        <v>1</v>
      </c>
      <c r="L22" s="8">
        <v>2</v>
      </c>
      <c r="M22" s="8">
        <v>4</v>
      </c>
      <c r="N22" s="8">
        <f t="shared" si="0"/>
        <v>27</v>
      </c>
      <c r="O22" s="8" t="s">
        <v>14</v>
      </c>
      <c r="Q22" s="9">
        <v>20</v>
      </c>
      <c r="R22" s="10" t="s">
        <v>26</v>
      </c>
      <c r="S22" s="8">
        <v>4</v>
      </c>
      <c r="T22" s="8">
        <v>4</v>
      </c>
      <c r="U22" s="8">
        <v>1</v>
      </c>
      <c r="V22" s="8">
        <v>3</v>
      </c>
      <c r="W22" s="8">
        <v>1</v>
      </c>
      <c r="X22" s="8">
        <v>3</v>
      </c>
      <c r="Y22" s="8">
        <v>1</v>
      </c>
      <c r="Z22" s="8">
        <v>3</v>
      </c>
      <c r="AA22" s="8">
        <v>4</v>
      </c>
      <c r="AB22" s="8">
        <v>3</v>
      </c>
      <c r="AC22" s="8">
        <f t="shared" si="1"/>
        <v>27</v>
      </c>
      <c r="AD22" s="8" t="s">
        <v>14</v>
      </c>
    </row>
    <row r="23" spans="2:30" ht="16.5" thickBot="1" x14ac:dyDescent="0.3">
      <c r="B23" s="9">
        <v>21</v>
      </c>
      <c r="C23" s="10" t="s">
        <v>27</v>
      </c>
      <c r="D23" s="8">
        <v>4</v>
      </c>
      <c r="E23" s="8">
        <v>3</v>
      </c>
      <c r="F23" s="8">
        <v>3</v>
      </c>
      <c r="G23" s="8">
        <v>2</v>
      </c>
      <c r="H23" s="8">
        <v>3</v>
      </c>
      <c r="I23" s="8">
        <v>3</v>
      </c>
      <c r="J23" s="8">
        <v>3</v>
      </c>
      <c r="K23" s="8">
        <v>1</v>
      </c>
      <c r="L23" s="8">
        <v>3</v>
      </c>
      <c r="M23" s="8">
        <v>2</v>
      </c>
      <c r="N23" s="8">
        <f t="shared" si="0"/>
        <v>27</v>
      </c>
      <c r="O23" s="8" t="s">
        <v>14</v>
      </c>
      <c r="Q23" s="9">
        <v>21</v>
      </c>
      <c r="R23" s="10" t="s">
        <v>27</v>
      </c>
      <c r="S23" s="8">
        <v>4</v>
      </c>
      <c r="T23" s="8">
        <v>3</v>
      </c>
      <c r="U23" s="8">
        <v>1</v>
      </c>
      <c r="V23" s="8">
        <v>2</v>
      </c>
      <c r="W23" s="8">
        <v>1</v>
      </c>
      <c r="X23" s="8">
        <v>2</v>
      </c>
      <c r="Y23" s="8">
        <v>3</v>
      </c>
      <c r="Z23" s="8">
        <v>2</v>
      </c>
      <c r="AA23" s="8">
        <v>1</v>
      </c>
      <c r="AB23" s="8">
        <v>1</v>
      </c>
      <c r="AC23" s="8">
        <f t="shared" si="1"/>
        <v>20</v>
      </c>
      <c r="AD23" s="8">
        <v>50</v>
      </c>
    </row>
    <row r="24" spans="2:30" ht="16.5" thickBot="1" x14ac:dyDescent="0.3">
      <c r="B24" s="9">
        <v>22</v>
      </c>
      <c r="C24" s="10" t="s">
        <v>28</v>
      </c>
      <c r="D24" s="8">
        <v>1</v>
      </c>
      <c r="E24" s="8">
        <v>1</v>
      </c>
      <c r="F24" s="8">
        <v>4</v>
      </c>
      <c r="G24" s="8">
        <v>4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">
        <v>4</v>
      </c>
      <c r="N24" s="8">
        <f t="shared" si="0"/>
        <v>34</v>
      </c>
      <c r="O24" s="8">
        <v>85</v>
      </c>
      <c r="Q24" s="9">
        <v>22</v>
      </c>
      <c r="R24" s="10" t="s">
        <v>28</v>
      </c>
      <c r="S24" s="8">
        <v>1</v>
      </c>
      <c r="T24" s="8">
        <v>1</v>
      </c>
      <c r="U24" s="8">
        <v>1</v>
      </c>
      <c r="V24" s="8">
        <v>3</v>
      </c>
      <c r="W24" s="8">
        <v>2</v>
      </c>
      <c r="X24" s="8">
        <v>2</v>
      </c>
      <c r="Y24" s="8">
        <v>3</v>
      </c>
      <c r="Z24" s="8">
        <v>3</v>
      </c>
      <c r="AA24" s="8">
        <v>4</v>
      </c>
      <c r="AB24" s="8">
        <v>3</v>
      </c>
      <c r="AC24" s="8">
        <f t="shared" si="1"/>
        <v>23</v>
      </c>
      <c r="AD24" s="8" t="s">
        <v>73</v>
      </c>
    </row>
    <row r="25" spans="2:30" ht="16.5" thickBot="1" x14ac:dyDescent="0.3">
      <c r="B25" s="9">
        <v>23</v>
      </c>
      <c r="C25" s="10" t="s">
        <v>29</v>
      </c>
      <c r="D25" s="8">
        <v>4</v>
      </c>
      <c r="E25" s="8">
        <v>3</v>
      </c>
      <c r="F25" s="8">
        <v>2</v>
      </c>
      <c r="G25" s="8">
        <v>2</v>
      </c>
      <c r="H25" s="8">
        <v>4</v>
      </c>
      <c r="I25" s="8">
        <v>3</v>
      </c>
      <c r="J25" s="8">
        <v>3</v>
      </c>
      <c r="K25" s="8">
        <v>4</v>
      </c>
      <c r="L25" s="8">
        <v>4</v>
      </c>
      <c r="M25" s="8">
        <v>2</v>
      </c>
      <c r="N25" s="8">
        <f t="shared" si="0"/>
        <v>31</v>
      </c>
      <c r="O25" s="8" t="s">
        <v>24</v>
      </c>
      <c r="Q25" s="9">
        <v>23</v>
      </c>
      <c r="R25" s="10" t="s">
        <v>29</v>
      </c>
      <c r="S25" s="8">
        <v>4</v>
      </c>
      <c r="T25" s="8">
        <v>3</v>
      </c>
      <c r="U25" s="8">
        <v>2</v>
      </c>
      <c r="V25" s="8">
        <v>2</v>
      </c>
      <c r="W25" s="8">
        <v>4</v>
      </c>
      <c r="X25" s="8">
        <v>3</v>
      </c>
      <c r="Y25" s="8">
        <v>3</v>
      </c>
      <c r="Z25" s="8">
        <v>4</v>
      </c>
      <c r="AA25" s="8">
        <v>2</v>
      </c>
      <c r="AB25" s="8">
        <v>3</v>
      </c>
      <c r="AC25" s="8">
        <f t="shared" si="1"/>
        <v>30</v>
      </c>
      <c r="AD25" s="8">
        <v>75</v>
      </c>
    </row>
    <row r="26" spans="2:30" ht="16.5" thickBot="1" x14ac:dyDescent="0.3">
      <c r="B26" s="9">
        <v>24</v>
      </c>
      <c r="C26" s="10" t="s">
        <v>30</v>
      </c>
      <c r="D26" s="8">
        <v>4</v>
      </c>
      <c r="E26" s="8">
        <v>4</v>
      </c>
      <c r="F26" s="8">
        <v>3</v>
      </c>
      <c r="G26" s="8">
        <v>3</v>
      </c>
      <c r="H26" s="8">
        <v>2</v>
      </c>
      <c r="I26" s="8">
        <v>4</v>
      </c>
      <c r="J26" s="8">
        <v>4</v>
      </c>
      <c r="K26" s="8">
        <v>4</v>
      </c>
      <c r="L26" s="8">
        <v>4</v>
      </c>
      <c r="M26" s="8">
        <v>4</v>
      </c>
      <c r="N26" s="8">
        <f t="shared" si="0"/>
        <v>36</v>
      </c>
      <c r="O26" s="8">
        <v>90</v>
      </c>
      <c r="Q26" s="9">
        <v>24</v>
      </c>
      <c r="R26" s="10" t="s">
        <v>30</v>
      </c>
      <c r="S26" s="8">
        <v>4</v>
      </c>
      <c r="T26" s="8">
        <v>4</v>
      </c>
      <c r="U26" s="8">
        <v>3</v>
      </c>
      <c r="V26" s="8">
        <v>3</v>
      </c>
      <c r="W26" s="8">
        <v>2</v>
      </c>
      <c r="X26" s="8">
        <v>3</v>
      </c>
      <c r="Y26" s="8">
        <v>3</v>
      </c>
      <c r="Z26" s="8">
        <v>2</v>
      </c>
      <c r="AA26" s="8">
        <v>2</v>
      </c>
      <c r="AB26" s="8">
        <v>3</v>
      </c>
      <c r="AC26" s="8">
        <f t="shared" si="1"/>
        <v>29</v>
      </c>
      <c r="AD26" s="8" t="s">
        <v>18</v>
      </c>
    </row>
    <row r="27" spans="2:30" ht="16.5" thickBot="1" x14ac:dyDescent="0.3">
      <c r="B27" s="9">
        <v>25</v>
      </c>
      <c r="C27" s="10" t="s">
        <v>31</v>
      </c>
      <c r="D27" s="8">
        <v>4</v>
      </c>
      <c r="E27" s="8">
        <v>4</v>
      </c>
      <c r="F27" s="8">
        <v>3</v>
      </c>
      <c r="G27" s="8">
        <v>3</v>
      </c>
      <c r="H27" s="8">
        <v>2</v>
      </c>
      <c r="I27" s="8">
        <v>2</v>
      </c>
      <c r="J27" s="8">
        <v>4</v>
      </c>
      <c r="K27" s="8">
        <v>4</v>
      </c>
      <c r="L27" s="8">
        <v>4</v>
      </c>
      <c r="M27" s="8">
        <v>4</v>
      </c>
      <c r="N27" s="8">
        <f t="shared" si="0"/>
        <v>34</v>
      </c>
      <c r="O27" s="8">
        <v>85</v>
      </c>
      <c r="Q27" s="9">
        <v>25</v>
      </c>
      <c r="R27" s="10" t="s">
        <v>31</v>
      </c>
      <c r="S27" s="8">
        <v>4</v>
      </c>
      <c r="T27" s="8">
        <v>4</v>
      </c>
      <c r="U27" s="8">
        <v>3</v>
      </c>
      <c r="V27" s="8">
        <v>3</v>
      </c>
      <c r="W27" s="8">
        <v>2</v>
      </c>
      <c r="X27" s="8">
        <v>2</v>
      </c>
      <c r="Y27" s="8">
        <v>3</v>
      </c>
      <c r="Z27" s="8">
        <v>2</v>
      </c>
      <c r="AA27" s="8">
        <v>3</v>
      </c>
      <c r="AB27" s="8">
        <v>2</v>
      </c>
      <c r="AC27" s="8">
        <f t="shared" si="1"/>
        <v>28</v>
      </c>
      <c r="AD27" s="8">
        <v>70</v>
      </c>
    </row>
    <row r="28" spans="2:30" ht="16.5" thickBot="1" x14ac:dyDescent="0.3">
      <c r="B28" s="9"/>
      <c r="C28" s="10" t="s">
        <v>32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>
        <f>SUM(N3:N27)</f>
        <v>782</v>
      </c>
      <c r="O28" s="8">
        <f>SUM(O3:O27)</f>
        <v>1530</v>
      </c>
      <c r="Q28" s="9"/>
      <c r="R28" s="10" t="s">
        <v>32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>
        <f>SUM(AC3:AC27)</f>
        <v>687</v>
      </c>
      <c r="AD28" s="8">
        <f>SUM(AD3:AD27)</f>
        <v>1220</v>
      </c>
    </row>
    <row r="29" spans="2:30" ht="16.5" thickBot="1" x14ac:dyDescent="0.3">
      <c r="B29" s="9"/>
      <c r="C29" s="10" t="s">
        <v>33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>
        <f>AVERAGE(N3:N27)</f>
        <v>31.28</v>
      </c>
      <c r="O29" s="8">
        <f>AVERAGE(O3:O27)</f>
        <v>80.526315789473685</v>
      </c>
      <c r="Q29" s="9"/>
      <c r="R29" s="10" t="s">
        <v>33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>
        <f>AVERAGE(AC3:AC27)</f>
        <v>27.48</v>
      </c>
      <c r="AD29" s="8">
        <f>AVERAGE(AD3:AD27)</f>
        <v>67.777777777777771</v>
      </c>
    </row>
    <row r="30" spans="2:30" ht="32.25" thickBot="1" x14ac:dyDescent="0.3">
      <c r="B30" s="9"/>
      <c r="C30" s="10" t="s">
        <v>34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>
        <f>MAX(N3:N27)</f>
        <v>38</v>
      </c>
      <c r="O30" s="8">
        <f>MAX(O3:O27)</f>
        <v>95</v>
      </c>
      <c r="Q30" s="9"/>
      <c r="R30" s="10" t="s">
        <v>34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>
        <f>MAX(AC3:AC27)</f>
        <v>38</v>
      </c>
      <c r="AD30" s="8">
        <f>MAX(AD3:AD27)</f>
        <v>95</v>
      </c>
    </row>
    <row r="31" spans="2:30" ht="16.5" thickBot="1" x14ac:dyDescent="0.3">
      <c r="B31" s="9"/>
      <c r="C31" s="10" t="s">
        <v>35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>
        <f>MIN(N3:N27)</f>
        <v>24</v>
      </c>
      <c r="O31" s="8">
        <f>MIN(O3:O27)</f>
        <v>60</v>
      </c>
      <c r="Q31" s="9"/>
      <c r="R31" s="10" t="s">
        <v>35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>
        <f>MIN(AC3:AC27)</f>
        <v>20</v>
      </c>
      <c r="AD31" s="8">
        <f>MIN(AD3:AD27)</f>
        <v>50</v>
      </c>
    </row>
  </sheetData>
  <mergeCells count="6">
    <mergeCell ref="B1:B2"/>
    <mergeCell ref="C1:C2"/>
    <mergeCell ref="D1:O1"/>
    <mergeCell ref="Q1:Q2"/>
    <mergeCell ref="R1:R2"/>
    <mergeCell ref="S1:A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davinaaulia009@gmail.com</cp:lastModifiedBy>
  <dcterms:created xsi:type="dcterms:W3CDTF">2023-06-13T01:08:13Z</dcterms:created>
  <dcterms:modified xsi:type="dcterms:W3CDTF">2023-06-18T05:11:38Z</dcterms:modified>
</cp:coreProperties>
</file>